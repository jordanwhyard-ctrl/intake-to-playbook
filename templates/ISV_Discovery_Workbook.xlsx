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ompany Profile" sheetId="2" state="visible" r:id="rId4"/>
    <sheet name="ISV Inventory" sheetId="3" state="visible" r:id="rId5"/>
    <sheet name="Renewal Calendar" sheetId="4" state="visible" r:id="rId6"/>
    <sheet name="Summary" sheetId="5" state="visible" r:id="rId7"/>
    <sheet name="Discovery Questions" sheetId="6" state="visible" r:id="rId8"/>
    <sheet name="Catalog" sheetId="7" state="visible" r:id="rId9"/>
    <sheet name="Lists" sheetId="8" state="hidden" r:id="rId10"/>
    <sheet name="Lookup" sheetId="9" state="hidden" r:id="rId11"/>
  </sheets>
  <definedNames>
    <definedName function="false" hidden="true" localSheetId="6" name="_xlnm._FilterDatabase" vbProcedure="false">Catalog!$A$4:$F$161</definedName>
    <definedName function="false" hidden="true" localSheetId="2" name="_xlnm._FilterDatabase" vbProcedure="false">'ISV Inventory'!$A$5:$AT$255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Pick from the list or type the name as it appears on the invoice.</t>
        </r>
      </text>
    </comment>
    <comment ref="C5" authorId="0">
      <text>
        <r>
          <rPr>
            <sz val="10"/>
            <rFont val="Arial"/>
            <family val="2"/>
          </rPr>
          <t xml:space="preserve">e.g. Enterprise, E3, Business+</t>
        </r>
      </text>
    </comment>
    <comment ref="D5" authorId="0">
      <text>
        <r>
          <rPr>
            <sz val="10"/>
            <rFont val="Arial"/>
            <family val="2"/>
          </rPr>
          <t xml:space="preserve">Only needed if the product isn't in the list.</t>
        </r>
      </text>
    </comment>
    <comment ref="F5" authorId="0">
      <text>
        <r>
          <rPr>
            <sz val="10"/>
            <rFont val="Arial"/>
            <family val="2"/>
          </rPr>
          <t xml:space="preserve">Person or team accountable for the tool.</t>
        </r>
      </text>
    </comment>
    <comment ref="H5" authorId="0">
      <text>
        <r>
          <rPr>
            <sz val="10"/>
            <rFont val="Arial"/>
            <family val="2"/>
          </rPr>
          <t xml:space="preserve">What the business uses it for, in a sentence.</t>
        </r>
      </text>
    </comment>
    <comment ref="K5" authorId="0">
      <text>
        <r>
          <rPr>
            <sz val="10"/>
            <rFont val="Arial"/>
            <family val="2"/>
          </rPr>
          <t xml:space="preserve">Systems it connects to (SSO, CRM, ERP, data warehouse…)</t>
        </r>
      </text>
    </comment>
    <comment ref="N5" authorId="0">
      <text>
        <r>
          <rPr>
            <sz val="10"/>
            <rFont val="Arial"/>
            <family val="2"/>
          </rPr>
          <t xml:space="preserve">From the admin console, if available.</t>
        </r>
      </text>
    </comment>
    <comment ref="P5" authorId="0">
      <text>
        <r>
          <rPr>
            <sz val="10"/>
            <rFont val="Arial"/>
            <family val="2"/>
          </rPr>
          <t xml:space="preserve">Give this + licenses, or the annual cost.</t>
        </r>
      </text>
    </comment>
    <comment ref="Q5" authorId="0">
      <text>
        <r>
          <rPr>
            <sz val="10"/>
            <rFont val="Arial"/>
            <family val="2"/>
          </rPr>
          <t xml:space="preserve">Total paid per year. Leave blank if you gave price per user.</t>
        </r>
      </text>
    </comment>
    <comment ref="Y5" authorId="0">
      <text>
        <r>
          <rPr>
            <sz val="10"/>
            <rFont val="Arial"/>
            <family val="2"/>
          </rPr>
          <t xml:space="preserve">Days before renewal to give notice of non-renewal.</t>
        </r>
      </text>
    </comment>
    <comment ref="AC5" authorId="0">
      <text>
        <r>
          <rPr>
            <sz val="10"/>
            <rFont val="Arial"/>
            <family val="2"/>
          </rPr>
          <t xml:space="preserve">Contractual cap on uplift, if any.</t>
        </r>
      </text>
    </comment>
    <comment ref="AD5" authorId="0">
      <text>
        <r>
          <rPr>
            <sz val="10"/>
            <rFont val="Arial"/>
            <family val="2"/>
          </rPr>
          <t xml:space="preserve">Termination for convenience.</t>
        </r>
      </text>
    </comment>
    <comment ref="AE5" authorId="0">
      <text>
        <r>
          <rPr>
            <sz val="10"/>
            <rFont val="Arial"/>
            <family val="2"/>
          </rPr>
          <t xml:space="preserve">5 = very satisfied</t>
        </r>
      </text>
    </comment>
    <comment ref="AJ5" authorId="0">
      <text>
        <r>
          <rPr>
            <sz val="10"/>
            <rFont val="Arial"/>
            <family val="2"/>
          </rPr>
          <t xml:space="preserve">Data migration, retraining, integrations, contract…</t>
        </r>
      </text>
    </comment>
  </commentList>
</comments>
</file>

<file path=xl/sharedStrings.xml><?xml version="1.0" encoding="utf-8"?>
<sst xmlns="http://schemas.openxmlformats.org/spreadsheetml/2006/main" count="2391" uniqueCount="1065">
  <si>
    <t xml:space="preserve">ISV Discovery Workbook</t>
  </si>
  <si>
    <t xml:space="preserve">Document every software product your company pays for: what it's used for, when it renews, and whether you'd consider alternatives. About 30–60 minutes for most companies.</t>
  </si>
  <si>
    <t xml:space="preserve">How to fill it in</t>
  </si>
  <si>
    <t xml:space="preserve">1. Company Profile</t>
  </si>
  <si>
    <t xml:space="preserve">Your company, contacts, how you buy software, and any AWS or Microsoft cloud commitments.</t>
  </si>
  <si>
    <t xml:space="preserve">2. ISV Inventory</t>
  </si>
  <si>
    <t xml:space="preserve">One row per product per contract. Pick the product from the dropdown, or type it if it isn't listed. Fill the yellow columns; grey columns calculate themselves.</t>
  </si>
  <si>
    <t xml:space="preserve">3. Discovery Questions</t>
  </si>
  <si>
    <t xml:space="preserve">Answer what you can. We'll cover the rest in the discovery session.</t>
  </si>
  <si>
    <t xml:space="preserve">Then check</t>
  </si>
  <si>
    <t xml:space="preserve">Renewal Calendar lists every renewal in date order. Summary shows totals, renewals by month, overlapping tools, and how open you are to alternatives.</t>
  </si>
  <si>
    <t xml:space="preserve">Legend</t>
  </si>
  <si>
    <t xml:space="preserve">Yellow cell</t>
  </si>
  <si>
    <t xml:space="preserve">You fill this in.</t>
  </si>
  <si>
    <t xml:space="preserve">Grey cell</t>
  </si>
  <si>
    <t xml:space="preserve">Calculated or looked up from the catalog. Don't type here.</t>
  </si>
  <si>
    <t xml:space="preserve">* in a header</t>
  </si>
  <si>
    <t xml:space="preserve">Required: product, primary use case, renewal date, and whether you're open to alternatives.</t>
  </si>
  <si>
    <t xml:space="preserve">Red / amber highlight</t>
  </si>
  <si>
    <t xml:space="preserve">Renewal is past due or within 90 days; auto-renew notice deadline is within 45 days; fewer than 75% of licenses are in use.</t>
  </si>
  <si>
    <t xml:space="preserve">Tips</t>
  </si>
  <si>
    <t xml:space="preserve">Cost</t>
  </si>
  <si>
    <t xml:space="preserve">Give either the annual cost, or price per user per month plus number of licenses. Use the currency you pay in (assumed USD).</t>
  </si>
  <si>
    <t xml:space="preserve">Dates</t>
  </si>
  <si>
    <t xml:space="preserve">Type dates as YYYY-MM-DD (2027-01-31). If the renewal date is unknown, put your best estimate and say so in Notes.</t>
  </si>
  <si>
    <t xml:space="preserve">Open to alternatives?</t>
  </si>
  <si>
    <t xml:space="preserve">Be candid. “Maybe – depends on price” is useful: it tells us to benchmark before the renewal.</t>
  </si>
  <si>
    <t xml:space="preserve">Not in the list?</t>
  </si>
  <si>
    <t xml:space="preserve">Type the name anyway. The In catalog? column will say “No – will be reviewed”, and we'll add it.</t>
  </si>
  <si>
    <t xml:space="preserve">Example row</t>
  </si>
  <si>
    <t xml:space="preserve">Row 6 of ISV Inventory is a filled-in example. Replace it or delete its contents.</t>
  </si>
  <si>
    <t xml:space="preserve">What happens next</t>
  </si>
  <si>
    <t xml:space="preserve">We review the workbook, match each product to our catalog of 157 ISVs, and send back a renewal plan: notice deadlines to calendar, licenses to right-size, overlapping tools, alternatives worth a look, and which renewals could be bought through AWS or Microsoft Marketplace against your cloud commitment.</t>
  </si>
  <si>
    <t xml:space="preserve">Confidentiality</t>
  </si>
  <si>
    <t xml:space="preserve">This workbook contains commercial terms. Share it only with the people who need it.</t>
  </si>
  <si>
    <t xml:space="preserve">Catalog version: 157 products. Marketplace status as of October 2026; listings change, so treat it as a guide.</t>
  </si>
  <si>
    <t xml:space="preserve">Company Profile</t>
  </si>
  <si>
    <t xml:space="preserve">Fill the yellow cells. * = required.</t>
  </si>
  <si>
    <t xml:space="preserve">Company</t>
  </si>
  <si>
    <t xml:space="preserve">Company legal name *</t>
  </si>
  <si>
    <t xml:space="preserve">Other names used (comma-separated)</t>
  </si>
  <si>
    <t xml:space="preserve">Industry *</t>
  </si>
  <si>
    <t xml:space="preserve">Employees *</t>
  </si>
  <si>
    <t xml:space="preserve">Headquarters country</t>
  </si>
  <si>
    <t xml:space="preserve">Fiscal year ends (month)</t>
  </si>
  <si>
    <t xml:space="preserve">People</t>
  </si>
  <si>
    <t xml:space="preserve">Executive sponsor *</t>
  </si>
  <si>
    <t xml:space="preserve">Sponsor title</t>
  </si>
  <si>
    <t xml:space="preserve">Day-to-day contact</t>
  </si>
  <si>
    <t xml:space="preserve">Contact email</t>
  </si>
  <si>
    <t xml:space="preserve">Procurement contact</t>
  </si>
  <si>
    <t xml:space="preserve">Security / compliance contact</t>
  </si>
  <si>
    <t xml:space="preserve">How you buy software</t>
  </si>
  <si>
    <t xml:space="preserve">Buy direct from vendors?</t>
  </si>
  <si>
    <t xml:space="preserve">Buy through resellers?</t>
  </si>
  <si>
    <t xml:space="preserve">Buy on AWS Marketplace?</t>
  </si>
  <si>
    <t xml:space="preserve">Buy on Microsoft Marketplace?</t>
  </si>
  <si>
    <t xml:space="preserve">Private marketplace enabled?</t>
  </si>
  <si>
    <t xml:space="preserve">New vendors need a security review?</t>
  </si>
  <si>
    <t xml:space="preserve">Typical procurement lead time (days)</t>
  </si>
  <si>
    <t xml:space="preserve">Approval needed above ($)</t>
  </si>
  <si>
    <t xml:space="preserve">Cloud commitments</t>
  </si>
  <si>
    <t xml:space="preserve">AWS commitment (EDP / private pricing)?</t>
  </si>
  <si>
    <t xml:space="preserve">AWS annual commitment ($)</t>
  </si>
  <si>
    <t xml:space="preserve">AWS commitment remaining this period ($)</t>
  </si>
  <si>
    <t xml:space="preserve">AWS commitment period ends</t>
  </si>
  <si>
    <t xml:space="preserve">Do AWS Marketplace purchases count toward it?</t>
  </si>
  <si>
    <t xml:space="preserve">Microsoft commitment (MACC)?</t>
  </si>
  <si>
    <t xml:space="preserve">Microsoft annual commitment ($)</t>
  </si>
  <si>
    <t xml:space="preserve">Microsoft commitment remaining this period ($)</t>
  </si>
  <si>
    <t xml:space="preserve">Microsoft commitment period ends</t>
  </si>
  <si>
    <t xml:space="preserve">Do Microsoft Marketplace purchases count toward it?</t>
  </si>
  <si>
    <t xml:space="preserve">This workbook</t>
  </si>
  <si>
    <t xml:space="preserve">Completed by</t>
  </si>
  <si>
    <t xml:space="preserve">Date completed</t>
  </si>
  <si>
    <t xml:space="preserve">Consultant / account lead</t>
  </si>
  <si>
    <t xml:space="preserve">ISV Inventory</t>
  </si>
  <si>
    <t xml:space="preserve">One row per product per contract. Yellow = you fill in · Grey = calculated · * = required. Hover a header for help.</t>
  </si>
  <si>
    <t xml:space="preserve">Product</t>
  </si>
  <si>
    <t xml:space="preserve">Ownership &amp; use case</t>
  </si>
  <si>
    <t xml:space="preserve">Licenses &amp; cost</t>
  </si>
  <si>
    <t xml:space="preserve">Contract &amp; renewal</t>
  </si>
  <si>
    <t xml:space="preserve">Satisfaction &amp; alternatives</t>
  </si>
  <si>
    <t xml:space="preserve">From the catalog (automatic)</t>
  </si>
  <si>
    <t xml:space="preserve">#</t>
  </si>
  <si>
    <t xml:space="preserve">Product / application *</t>
  </si>
  <si>
    <t xml:space="preserve">Edition / SKU / plan</t>
  </si>
  <si>
    <t xml:space="preserve">Vendor</t>
  </si>
  <si>
    <t xml:space="preserve">Department / business unit</t>
  </si>
  <si>
    <t xml:space="preserve">Business owner</t>
  </si>
  <si>
    <t xml:space="preserve">Technical owner / admin</t>
  </si>
  <si>
    <t xml:space="preserve">Primary use case *</t>
  </si>
  <si>
    <t xml:space="preserve">Other use cases</t>
  </si>
  <si>
    <t xml:space="preserve">Business criticality</t>
  </si>
  <si>
    <t xml:space="preserve">Key integrations</t>
  </si>
  <si>
    <t xml:space="preserve">Data sensitivity</t>
  </si>
  <si>
    <t xml:space="preserve">Licenses / seats</t>
  </si>
  <si>
    <t xml:space="preserve">Active users (last 90 days)</t>
  </si>
  <si>
    <t xml:space="preserve">Utilization</t>
  </si>
  <si>
    <t xml:space="preserve">Price per user / month ($)</t>
  </si>
  <si>
    <t xml:space="preserve">Annual cost ($)</t>
  </si>
  <si>
    <t xml:space="preserve">Annual spend ($)</t>
  </si>
  <si>
    <t xml:space="preserve">Billing frequency</t>
  </si>
  <si>
    <t xml:space="preserve">Purchased via</t>
  </si>
  <si>
    <t xml:space="preserve">Contract start date</t>
  </si>
  <si>
    <t xml:space="preserve">Renewal / contract end date *</t>
  </si>
  <si>
    <t xml:space="preserve">Term (months)</t>
  </si>
  <si>
    <t xml:space="preserve">Auto-renews?</t>
  </si>
  <si>
    <t xml:space="preserve">Notice period (days)</t>
  </si>
  <si>
    <t xml:space="preserve">Notice deadline</t>
  </si>
  <si>
    <t xml:space="preserve">Days to renewal</t>
  </si>
  <si>
    <t xml:space="preserve">Renewal window</t>
  </si>
  <si>
    <t xml:space="preserve">Price increase cap at renewal (%)</t>
  </si>
  <si>
    <t xml:space="preserve">Can terminate early?</t>
  </si>
  <si>
    <t xml:space="preserve">Satisfaction (1–5)</t>
  </si>
  <si>
    <t xml:space="preserve">Pain points / gaps</t>
  </si>
  <si>
    <t xml:space="preserve">Open to alternatives after renewal? *</t>
  </si>
  <si>
    <t xml:space="preserve">Alternatives being considered</t>
  </si>
  <si>
    <t xml:space="preserve">Main reason to switch</t>
  </si>
  <si>
    <t xml:space="preserve">Switching barriers</t>
  </si>
  <si>
    <t xml:space="preserve">Desired outcome at renewal</t>
  </si>
  <si>
    <t xml:space="preserve">Decision maker</t>
  </si>
  <si>
    <t xml:space="preserve">Notes</t>
  </si>
  <si>
    <t xml:space="preserve">Catalog product</t>
  </si>
  <si>
    <t xml:space="preserve">In catalog?</t>
  </si>
  <si>
    <t xml:space="preserve">Catalog vendor</t>
  </si>
  <si>
    <t xml:space="preserve">Category</t>
  </si>
  <si>
    <t xml:space="preserve">AWS Marketplace</t>
  </si>
  <si>
    <t xml:space="preserve">Microsoft Marketplace</t>
  </si>
  <si>
    <t xml:space="preserve">Catalog alternatives</t>
  </si>
  <si>
    <t xml:space="preserve">sort key</t>
  </si>
  <si>
    <t xml:space="preserve">Okta Workforce Identity</t>
  </si>
  <si>
    <t xml:space="preserve">SSO + MFA</t>
  </si>
  <si>
    <t xml:space="preserve">IT</t>
  </si>
  <si>
    <t xml:space="preserve">IT Director</t>
  </si>
  <si>
    <t xml:space="preserve">Identity team</t>
  </si>
  <si>
    <t xml:space="preserve">Single sign-on and MFA for all employees and contractors</t>
  </si>
  <si>
    <t xml:space="preserve">Lifecycle provisioning to HR system</t>
  </si>
  <si>
    <t xml:space="preserve">Mission-critical</t>
  </si>
  <si>
    <t xml:space="preserve">Workday, Google Workspace, AWS</t>
  </si>
  <si>
    <t xml:space="preserve">Confidential</t>
  </si>
  <si>
    <t xml:space="preserve">Annual upfront</t>
  </si>
  <si>
    <t xml:space="preserve">Direct</t>
  </si>
  <si>
    <t xml:space="preserve">Yes</t>
  </si>
  <si>
    <t xml:space="preserve">No</t>
  </si>
  <si>
    <t xml:space="preserve">Price went up 7% last year</t>
  </si>
  <si>
    <t xml:space="preserve">Maybe – depends on price</t>
  </si>
  <si>
    <t xml:space="preserve">Microsoft Entra ID P1</t>
  </si>
  <si>
    <t xml:space="preserve">120 app integrations to re-point</t>
  </si>
  <si>
    <t xml:space="preserve">Renegotiate price</t>
  </si>
  <si>
    <t xml:space="preserve">CFO</t>
  </si>
  <si>
    <t xml:space="preserve">EXAMPLE ROW: replace or delete</t>
  </si>
  <si>
    <t xml:space="preserve">Renewal Calendar</t>
  </si>
  <si>
    <t xml:space="preserve">Every product with a renewal date, soonest first. Calculated from ISV Inventory; don't type here.</t>
  </si>
  <si>
    <t xml:space="preserve">Renewal date</t>
  </si>
  <si>
    <t xml:space="preserve">Days</t>
  </si>
  <si>
    <t xml:space="preserve">Window</t>
  </si>
  <si>
    <t xml:space="preserve">Desired outcome</t>
  </si>
  <si>
    <t xml:space="preserve">Summary</t>
  </si>
  <si>
    <t xml:space="preserve">At a glance</t>
  </si>
  <si>
    <t xml:space="preserve">Products</t>
  </si>
  <si>
    <t xml:space="preserve">Open to alternatives after renewal?</t>
  </si>
  <si>
    <t xml:space="preserve">All products</t>
  </si>
  <si>
    <t xml:space="preserve">Yes – actively evaluating</t>
  </si>
  <si>
    <t xml:space="preserve">Renewal past due</t>
  </si>
  <si>
    <t xml:space="preserve">Yes – open at renewal</t>
  </si>
  <si>
    <t xml:space="preserve">Renewing in 0–90 days</t>
  </si>
  <si>
    <t xml:space="preserve">Renewing in 91–180 days</t>
  </si>
  <si>
    <t xml:space="preserve">No – committed</t>
  </si>
  <si>
    <t xml:space="preserve">Renewing in 181–365 days</t>
  </si>
  <si>
    <t xml:space="preserve">No – contractually locked in</t>
  </si>
  <si>
    <t xml:space="preserve">Auto-renew notice due within 45 days</t>
  </si>
  <si>
    <t xml:space="preserve">Unknown</t>
  </si>
  <si>
    <t xml:space="preserve">Not in catalog (to review)</t>
  </si>
  <si>
    <t xml:space="preserve">Not answered</t>
  </si>
  <si>
    <t xml:space="preserve">Missing a renewal date</t>
  </si>
  <si>
    <t xml:space="preserve">Renewals by month (next 12 months)</t>
  </si>
  <si>
    <t xml:space="preserve">Renew as-is</t>
  </si>
  <si>
    <t xml:space="preserve">Right-size licenses</t>
  </si>
  <si>
    <t xml:space="preserve">Upgrade / expand</t>
  </si>
  <si>
    <t xml:space="preserve">Consolidate onto another tool</t>
  </si>
  <si>
    <t xml:space="preserve">Replace with alternative</t>
  </si>
  <si>
    <t xml:space="preserve">Retire</t>
  </si>
  <si>
    <t xml:space="preserve">Undecided</t>
  </si>
  <si>
    <t xml:space="preserve">Tools per category (2+ = overlap)</t>
  </si>
  <si>
    <t xml:space="preserve">AI / ML platform</t>
  </si>
  <si>
    <t xml:space="preserve">API platform</t>
  </si>
  <si>
    <t xml:space="preserve">Analytics automation</t>
  </si>
  <si>
    <t xml:space="preserve">Application security</t>
  </si>
  <si>
    <t xml:space="preserve">Artifact management</t>
  </si>
  <si>
    <t xml:space="preserve">Backup</t>
  </si>
  <si>
    <t xml:space="preserve">Business intelligence</t>
  </si>
  <si>
    <t xml:space="preserve">CI/CD</t>
  </si>
  <si>
    <t xml:space="preserve">CRM</t>
  </si>
  <si>
    <t xml:space="preserve">Cloud security</t>
  </si>
  <si>
    <t xml:space="preserve">Communications APIs</t>
  </si>
  <si>
    <t xml:space="preserve">Compliance automation</t>
  </si>
  <si>
    <t xml:space="preserve">Contact center</t>
  </si>
  <si>
    <t xml:space="preserve">Contract management</t>
  </si>
  <si>
    <t xml:space="preserve">Customer service</t>
  </si>
  <si>
    <t xml:space="preserve">Data integration</t>
  </si>
  <si>
    <t xml:space="preserve">Data platform</t>
  </si>
  <si>
    <t xml:space="preserve">Data streaming</t>
  </si>
  <si>
    <t xml:space="preserve">Data transformation</t>
  </si>
  <si>
    <t xml:space="preserve">Database</t>
  </si>
  <si>
    <t xml:space="preserve">Design</t>
  </si>
  <si>
    <t xml:space="preserve">Device management</t>
  </si>
  <si>
    <t xml:space="preserve">E-signature</t>
  </si>
  <si>
    <t xml:space="preserve">ERP</t>
  </si>
  <si>
    <t xml:space="preserve">Email security</t>
  </si>
  <si>
    <t xml:space="preserve">Endpoint security</t>
  </si>
  <si>
    <t xml:space="preserve">File storage</t>
  </si>
  <si>
    <t xml:space="preserve">Firewall</t>
  </si>
  <si>
    <t xml:space="preserve">HR</t>
  </si>
  <si>
    <t xml:space="preserve">IT service management</t>
  </si>
  <si>
    <t xml:space="preserve">Identity</t>
  </si>
  <si>
    <t xml:space="preserve">Identity governance</t>
  </si>
  <si>
    <t xml:space="preserve">Incident management</t>
  </si>
  <si>
    <t xml:space="preserve">Infrastructure as code</t>
  </si>
  <si>
    <t xml:space="preserve">Knowledge base</t>
  </si>
  <si>
    <t xml:space="preserve">Legal practice management</t>
  </si>
  <si>
    <t xml:space="preserve">Marketing</t>
  </si>
  <si>
    <t xml:space="preserve">Observability</t>
  </si>
  <si>
    <t xml:space="preserve">PDF</t>
  </si>
  <si>
    <t xml:space="preserve">Password management</t>
  </si>
  <si>
    <t xml:space="preserve">Privileged access</t>
  </si>
  <si>
    <t xml:space="preserve">Productivity suite</t>
  </si>
  <si>
    <t xml:space="preserve">Remote access</t>
  </si>
  <si>
    <t xml:space="preserve">Revenue intelligence</t>
  </si>
  <si>
    <t xml:space="preserve">SASE / network security</t>
  </si>
  <si>
    <t xml:space="preserve">SIEM</t>
  </si>
  <si>
    <t xml:space="preserve">Sales engagement</t>
  </si>
  <si>
    <t xml:space="preserve">Sales intelligence</t>
  </si>
  <si>
    <t xml:space="preserve">Security awareness</t>
  </si>
  <si>
    <t xml:space="preserve">Source control &amp; CI/CD</t>
  </si>
  <si>
    <t xml:space="preserve">Spend management</t>
  </si>
  <si>
    <t xml:space="preserve">Team chat</t>
  </si>
  <si>
    <t xml:space="preserve">UCaaS</t>
  </si>
  <si>
    <t xml:space="preserve">Video meetings</t>
  </si>
  <si>
    <t xml:space="preserve">Virtual desktop</t>
  </si>
  <si>
    <t xml:space="preserve">Vulnerability management</t>
  </si>
  <si>
    <t xml:space="preserve">Whiteboarding</t>
  </si>
  <si>
    <t xml:space="preserve">Work management</t>
  </si>
  <si>
    <t xml:space="preserve">Work tracking</t>
  </si>
  <si>
    <t xml:space="preserve">Discovery Questions</t>
  </si>
  <si>
    <t xml:space="preserve">Answer what you can before the session. Short answers are fine.</t>
  </si>
  <si>
    <t xml:space="preserve">Topic</t>
  </si>
  <si>
    <t xml:space="preserve">Question</t>
  </si>
  <si>
    <t xml:space="preserve">Your answer</t>
  </si>
  <si>
    <t xml:space="preserve">Strategy</t>
  </si>
  <si>
    <t xml:space="preserve">What business goals does software spend need to support over the next 12–24 months?</t>
  </si>
  <si>
    <t xml:space="preserve">Is there a mandate to consolidate vendors or cut software spend? By how much?</t>
  </si>
  <si>
    <t xml:space="preserve">Are any reorganizations, acquisitions or divestitures planned that change who uses what?</t>
  </si>
  <si>
    <t xml:space="preserve">Renewals</t>
  </si>
  <si>
    <t xml:space="preserve">Who owns the renewal calendar today, and how much notice do you usually get before a renewal?</t>
  </si>
  <si>
    <t xml:space="preserve">Which renewals in the next 6 months worry you most, and why?</t>
  </si>
  <si>
    <t xml:space="preserve">Have any auto-renewals caught you by surprise in the last year?</t>
  </si>
  <si>
    <t xml:space="preserve">What price increases have vendors proposed at recent renewals?</t>
  </si>
  <si>
    <t xml:space="preserve">Use cases</t>
  </si>
  <si>
    <t xml:space="preserve">Where do two or more tools do the same job? Which would you keep?</t>
  </si>
  <si>
    <t xml:space="preserve">Which tools were bought by one team and spread without central approval?</t>
  </si>
  <si>
    <t xml:space="preserve">Which capabilities are missing today that you're working around?</t>
  </si>
  <si>
    <t xml:space="preserve">Alternatives</t>
  </si>
  <si>
    <t xml:space="preserve">Which products would you replace tomorrow if switching cost nothing?</t>
  </si>
  <si>
    <t xml:space="preserve">What usually stops you from switching: data migration, retraining, integrations, or contract terms?</t>
  </si>
  <si>
    <t xml:space="preserve">Are any vendors on a preferred or blocked list?</t>
  </si>
  <si>
    <t xml:space="preserve">Buying process</t>
  </si>
  <si>
    <t xml:space="preserve">Who approves software purchases, and at what dollar thresholds?</t>
  </si>
  <si>
    <t xml:space="preserve">How long does a new vendor take to get through security, legal and procurement?</t>
  </si>
  <si>
    <t xml:space="preserve">Do you buy through AWS or Microsoft Marketplace today? Is a private marketplace enabled?</t>
  </si>
  <si>
    <t xml:space="preserve">Do marketplace purchases count toward your cloud commitment, and at what rate?</t>
  </si>
  <si>
    <t xml:space="preserve">Usage</t>
  </si>
  <si>
    <t xml:space="preserve">Where can we get license and active-user counts (admin consoles, SSO logs, a SaaS-management tool)?</t>
  </si>
  <si>
    <t xml:space="preserve">Which tools have lots of licenses but few active users?</t>
  </si>
  <si>
    <t xml:space="preserve">Security &amp; compliance</t>
  </si>
  <si>
    <t xml:space="preserve">Which tools hold regulated data (PII, PHI, PCI), and which frameworks apply (SOC 2, HIPAA, PCI, ISO 27001)?</t>
  </si>
  <si>
    <t xml:space="preserve">Next steps</t>
  </si>
  <si>
    <t xml:space="preserve">Who else should we talk to, and what would make this review a success for you?</t>
  </si>
  <si>
    <t xml:space="preserve">ISV Catalog</t>
  </si>
  <si>
    <t xml:space="preserve">157 products. Marketplace status checked October 2026 (Listed = an ISV-published offer was found; Add-in only = a Teams/Office add-in or Entra app, not a purchasable offer; Unverified = not yet checked). Read-only reference used by the ISV Inventory dropdown and lookups.</t>
  </si>
  <si>
    <t xml:space="preserve">1Password Business</t>
  </si>
  <si>
    <t xml:space="preserve">1Password</t>
  </si>
  <si>
    <t xml:space="preserve">Listed</t>
  </si>
  <si>
    <t xml:space="preserve">Keeper Enterprise</t>
  </si>
  <si>
    <t xml:space="preserve">Abnormal Security</t>
  </si>
  <si>
    <t xml:space="preserve">Mimecast Email Security, Proofpoint Email Protection</t>
  </si>
  <si>
    <t xml:space="preserve">Acronis Cyber Protect</t>
  </si>
  <si>
    <t xml:space="preserve">Acronis</t>
  </si>
  <si>
    <t xml:space="preserve">Unverified</t>
  </si>
  <si>
    <t xml:space="preserve">Cohesity DataProtect, Commvault Cloud, Druva, N2W Backup &amp; Recovery</t>
  </si>
  <si>
    <t xml:space="preserve">Adobe Acrobat Pro</t>
  </si>
  <si>
    <t xml:space="preserve">Adobe</t>
  </si>
  <si>
    <t xml:space="preserve">Foxit PDF Editor</t>
  </si>
  <si>
    <t xml:space="preserve">Adobe Acrobat Sign</t>
  </si>
  <si>
    <t xml:space="preserve">Not found</t>
  </si>
  <si>
    <t xml:space="preserve">DocuSign eSignature, Dropbox Sign</t>
  </si>
  <si>
    <t xml:space="preserve">Adobe Creative Cloud</t>
  </si>
  <si>
    <t xml:space="preserve">Add-in only</t>
  </si>
  <si>
    <t xml:space="preserve">Autodesk AutoCAD, Canva Enterprise, Figma</t>
  </si>
  <si>
    <t xml:space="preserve">Adobe Experience Manager</t>
  </si>
  <si>
    <t xml:space="preserve">Braze, Mailchimp, Optimizely, Sprinklr</t>
  </si>
  <si>
    <t xml:space="preserve">ADP Workforce Now</t>
  </si>
  <si>
    <t xml:space="preserve">ADP</t>
  </si>
  <si>
    <t xml:space="preserve">BambooHR, Rippling, SAP SuccessFactors, UKG Pro</t>
  </si>
  <si>
    <t xml:space="preserve">Alteryx</t>
  </si>
  <si>
    <t xml:space="preserve">Aqua Security</t>
  </si>
  <si>
    <t xml:space="preserve">Orca Security, Prisma Cloud, Wiz</t>
  </si>
  <si>
    <t xml:space="preserve">Asana Business</t>
  </si>
  <si>
    <t xml:space="preserve">Asana</t>
  </si>
  <si>
    <t xml:space="preserve">Monday.com Work Management, Smartsheet Business, Microsoft Planner</t>
  </si>
  <si>
    <t xml:space="preserve">Atlassian Confluence</t>
  </si>
  <si>
    <t xml:space="preserve">Atlassian</t>
  </si>
  <si>
    <t xml:space="preserve">Notion</t>
  </si>
  <si>
    <t xml:space="preserve">Autodesk AutoCAD</t>
  </si>
  <si>
    <t xml:space="preserve">Autodesk</t>
  </si>
  <si>
    <t xml:space="preserve">Adobe Creative Cloud, Canva Enterprise, Figma</t>
  </si>
  <si>
    <t xml:space="preserve">BambooHR</t>
  </si>
  <si>
    <t xml:space="preserve">Rippling, Gusto</t>
  </si>
  <si>
    <t xml:space="preserve">BeyondTrust</t>
  </si>
  <si>
    <t xml:space="preserve">CyberArk Identity Security, Delinea Secret Server</t>
  </si>
  <si>
    <t xml:space="preserve">BMC Helix ITSM</t>
  </si>
  <si>
    <t xml:space="preserve">BMC</t>
  </si>
  <si>
    <t xml:space="preserve">Freshservice, Ivanti Neurons for ITSM, Jira Service Management, ServiceNow ITSM</t>
  </si>
  <si>
    <t xml:space="preserve">Box Business</t>
  </si>
  <si>
    <t xml:space="preserve">Box</t>
  </si>
  <si>
    <t xml:space="preserve">Microsoft SharePoint / OneDrive, Dropbox Business, Egnyte</t>
  </si>
  <si>
    <t xml:space="preserve">Braze</t>
  </si>
  <si>
    <t xml:space="preserve">Adobe Experience Manager, Mailchimp, Optimizely, Sprinklr</t>
  </si>
  <si>
    <t xml:space="preserve">Canva Enterprise</t>
  </si>
  <si>
    <t xml:space="preserve">Canva</t>
  </si>
  <si>
    <t xml:space="preserve">Adobe Creative Cloud, Autodesk AutoCAD, Figma</t>
  </si>
  <si>
    <t xml:space="preserve">Check Point CloudGuard</t>
  </si>
  <si>
    <t xml:space="preserve">Check Point</t>
  </si>
  <si>
    <t xml:space="preserve">Fortinet FortiGate</t>
  </si>
  <si>
    <t xml:space="preserve">Checkmarx One</t>
  </si>
  <si>
    <t xml:space="preserve">Checkmarx</t>
  </si>
  <si>
    <t xml:space="preserve">Snyk, SonarQube, Veracode</t>
  </si>
  <si>
    <t xml:space="preserve">CircleCI</t>
  </si>
  <si>
    <t xml:space="preserve">Harness</t>
  </si>
  <si>
    <t xml:space="preserve">Cisco Duo</t>
  </si>
  <si>
    <t xml:space="preserve">Cisco</t>
  </si>
  <si>
    <t xml:space="preserve">JumpCloud, Okta Workforce Identity, Ping Identity, Microsoft Entra ID P1</t>
  </si>
  <si>
    <t xml:space="preserve">Citrix DaaS</t>
  </si>
  <si>
    <t xml:space="preserve">Cloud Software Group</t>
  </si>
  <si>
    <t xml:space="preserve">Nerdio Manager, Omnissa Horizon</t>
  </si>
  <si>
    <t xml:space="preserve">Clio Manage</t>
  </si>
  <si>
    <t xml:space="preserve">Clio</t>
  </si>
  <si>
    <t xml:space="preserve">Cloudera Data Platform</t>
  </si>
  <si>
    <t xml:space="preserve">Cloudera</t>
  </si>
  <si>
    <t xml:space="preserve">Databricks, Snowflake, Teradata VantageCloud</t>
  </si>
  <si>
    <t xml:space="preserve">Cloudflare Zero Trust</t>
  </si>
  <si>
    <t xml:space="preserve">Cloudflare</t>
  </si>
  <si>
    <t xml:space="preserve">Netskope One, Palo Alto Networks Prisma Access, Zscaler Internet Access</t>
  </si>
  <si>
    <t xml:space="preserve">Cohesity DataProtect</t>
  </si>
  <si>
    <t xml:space="preserve">Cohesity</t>
  </si>
  <si>
    <t xml:space="preserve">Acronis Cyber Protect, Commvault Cloud, Druva, N2W Backup &amp; Recovery</t>
  </si>
  <si>
    <t xml:space="preserve">Commvault Cloud</t>
  </si>
  <si>
    <t xml:space="preserve">Commvault</t>
  </si>
  <si>
    <t xml:space="preserve">Acronis Cyber Protect, Cohesity DataProtect, Druva, N2W Backup &amp; Recovery</t>
  </si>
  <si>
    <t xml:space="preserve">Confluent Cloud</t>
  </si>
  <si>
    <t xml:space="preserve">Confluent</t>
  </si>
  <si>
    <t xml:space="preserve">Couchbase Capella</t>
  </si>
  <si>
    <t xml:space="preserve">Couchbase</t>
  </si>
  <si>
    <t xml:space="preserve">MongoDB Atlas, Neo4j AuraDB, Redis Cloud</t>
  </si>
  <si>
    <t xml:space="preserve">Coupa</t>
  </si>
  <si>
    <t xml:space="preserve">SAP Concur</t>
  </si>
  <si>
    <t xml:space="preserve">CrowdStrike Falcon</t>
  </si>
  <si>
    <t xml:space="preserve">CrowdStrike</t>
  </si>
  <si>
    <t xml:space="preserve">SentinelOne Singularity, Microsoft Defender for Endpoint</t>
  </si>
  <si>
    <t xml:space="preserve">CyberArk Identity Security</t>
  </si>
  <si>
    <t xml:space="preserve">CyberArk</t>
  </si>
  <si>
    <t xml:space="preserve">BeyondTrust, Delinea Secret Server</t>
  </si>
  <si>
    <t xml:space="preserve">Databricks</t>
  </si>
  <si>
    <t xml:space="preserve">Cloudera Data Platform, Snowflake, Teradata VantageCloud</t>
  </si>
  <si>
    <t xml:space="preserve">Datadog</t>
  </si>
  <si>
    <t xml:space="preserve">Dynatrace, Elastic Cloud, Grafana Cloud, LogicMonitor</t>
  </si>
  <si>
    <t xml:space="preserve">Dataiku</t>
  </si>
  <si>
    <t xml:space="preserve">DataRobot</t>
  </si>
  <si>
    <t xml:space="preserve">dbt Cloud</t>
  </si>
  <si>
    <t xml:space="preserve">dbt Labs</t>
  </si>
  <si>
    <t xml:space="preserve">Delinea Secret Server</t>
  </si>
  <si>
    <t xml:space="preserve">Delinea</t>
  </si>
  <si>
    <t xml:space="preserve">BeyondTrust, CyberArk Identity Security</t>
  </si>
  <si>
    <t xml:space="preserve">DocuSign eSignature</t>
  </si>
  <si>
    <t xml:space="preserve">Docusign</t>
  </si>
  <si>
    <t xml:space="preserve">Adobe Acrobat Sign, Dropbox Sign</t>
  </si>
  <si>
    <t xml:space="preserve">Domo</t>
  </si>
  <si>
    <t xml:space="preserve">Qlik Sense, Sisense, Tableau Creator/Viewer, ThoughtSpot</t>
  </si>
  <si>
    <t xml:space="preserve">Drata</t>
  </si>
  <si>
    <t xml:space="preserve">Vanta</t>
  </si>
  <si>
    <t xml:space="preserve">Dropbox Business</t>
  </si>
  <si>
    <t xml:space="preserve">Dropbox</t>
  </si>
  <si>
    <t xml:space="preserve">Microsoft SharePoint / OneDrive, Box Business</t>
  </si>
  <si>
    <t xml:space="preserve">Druva</t>
  </si>
  <si>
    <t xml:space="preserve">Veeam Data Platform, Rubrik Security Cloud</t>
  </si>
  <si>
    <t xml:space="preserve">Dynatrace</t>
  </si>
  <si>
    <t xml:space="preserve">Datadog, Elastic Cloud, Grafana Cloud, LogicMonitor</t>
  </si>
  <si>
    <t xml:space="preserve">Egnyte</t>
  </si>
  <si>
    <t xml:space="preserve">Box Business, Dropbox Business</t>
  </si>
  <si>
    <t xml:space="preserve">Elastic Cloud</t>
  </si>
  <si>
    <t xml:space="preserve">Elastic</t>
  </si>
  <si>
    <t xml:space="preserve">Datadog, Dynatrace, Grafana Cloud, LogicMonitor</t>
  </si>
  <si>
    <t xml:space="preserve">Figma</t>
  </si>
  <si>
    <t xml:space="preserve">Adobe Creative Cloud, Autodesk AutoCAD, Canva Enterprise</t>
  </si>
  <si>
    <t xml:space="preserve">Five9</t>
  </si>
  <si>
    <t xml:space="preserve">Genesys Cloud CX, NICE CXone, Talkdesk</t>
  </si>
  <si>
    <t xml:space="preserve">Fivetran</t>
  </si>
  <si>
    <t xml:space="preserve">Informatica Intelligent Data Management Cloud</t>
  </si>
  <si>
    <t xml:space="preserve">Fortinet</t>
  </si>
  <si>
    <t xml:space="preserve">Freshdesk</t>
  </si>
  <si>
    <t xml:space="preserve">Freshworks</t>
  </si>
  <si>
    <t xml:space="preserve">Zendesk Suite, HubSpot Service Hub</t>
  </si>
  <si>
    <t xml:space="preserve">Freshservice</t>
  </si>
  <si>
    <t xml:space="preserve">Jira Service Management, ServiceNow ITSM</t>
  </si>
  <si>
    <t xml:space="preserve">Genesys Cloud CX</t>
  </si>
  <si>
    <t xml:space="preserve">Genesys</t>
  </si>
  <si>
    <t xml:space="preserve">NICE CXone, Talkdesk, Five9</t>
  </si>
  <si>
    <t xml:space="preserve">GitHub Enterprise</t>
  </si>
  <si>
    <t xml:space="preserve">Microsoft</t>
  </si>
  <si>
    <t xml:space="preserve">GitLab Ultimate</t>
  </si>
  <si>
    <t xml:space="preserve">GitLab</t>
  </si>
  <si>
    <t xml:space="preserve">Gong</t>
  </si>
  <si>
    <t xml:space="preserve">Google Workspace Business Plus</t>
  </si>
  <si>
    <t xml:space="preserve">Google</t>
  </si>
  <si>
    <t xml:space="preserve">Microsoft 365 E3</t>
  </si>
  <si>
    <t xml:space="preserve">Grafana Cloud</t>
  </si>
  <si>
    <t xml:space="preserve">Grafana Labs</t>
  </si>
  <si>
    <t xml:space="preserve">Datadog, Dynatrace, Elastic Cloud, LogicMonitor</t>
  </si>
  <si>
    <t xml:space="preserve">HashiCorp Terraform</t>
  </si>
  <si>
    <t xml:space="preserve">HashiCorp (IBM)</t>
  </si>
  <si>
    <t xml:space="preserve">HubSpot Sales Hub</t>
  </si>
  <si>
    <t xml:space="preserve">HubSpot</t>
  </si>
  <si>
    <t xml:space="preserve">Salesforce Sales Cloud, Microsoft Dynamics 365 Sales, Pipedrive</t>
  </si>
  <si>
    <t xml:space="preserve">Icertis</t>
  </si>
  <si>
    <t xml:space="preserve">Ironclad</t>
  </si>
  <si>
    <t xml:space="preserve">Infor CloudSuite</t>
  </si>
  <si>
    <t xml:space="preserve">Infor</t>
  </si>
  <si>
    <t xml:space="preserve">Oracle NetSuite, SAP S/4HANA Cloud</t>
  </si>
  <si>
    <t xml:space="preserve">Informatica</t>
  </si>
  <si>
    <t xml:space="preserve">Intercom</t>
  </si>
  <si>
    <t xml:space="preserve">Freshdesk, Zendesk Suite</t>
  </si>
  <si>
    <t xml:space="preserve">Ivanti Neurons for ITSM</t>
  </si>
  <si>
    <t xml:space="preserve">Ivanti</t>
  </si>
  <si>
    <t xml:space="preserve">BMC Helix ITSM, Freshservice, Jira Service Management, ServiceNow ITSM</t>
  </si>
  <si>
    <t xml:space="preserve">Jamf Pro</t>
  </si>
  <si>
    <t xml:space="preserve">Jamf</t>
  </si>
  <si>
    <t xml:space="preserve">NinjaOne</t>
  </si>
  <si>
    <t xml:space="preserve">JFrog Platform</t>
  </si>
  <si>
    <t xml:space="preserve">JFrog</t>
  </si>
  <si>
    <t xml:space="preserve">Jira Service Management</t>
  </si>
  <si>
    <t xml:space="preserve">Freshservice, ServiceNow ITSM</t>
  </si>
  <si>
    <t xml:space="preserve">Jira Software</t>
  </si>
  <si>
    <t xml:space="preserve">JumpCloud</t>
  </si>
  <si>
    <t xml:space="preserve">Cisco Duo, Okta Workforce Identity, Ping Identity, Microsoft Entra ID P1</t>
  </si>
  <si>
    <t xml:space="preserve">Keeper Security</t>
  </si>
  <si>
    <t xml:space="preserve">KnowBe4 Security Awareness Training</t>
  </si>
  <si>
    <t xml:space="preserve">KnowBe4</t>
  </si>
  <si>
    <t xml:space="preserve">LogicMonitor</t>
  </si>
  <si>
    <t xml:space="preserve">Datadog, Dynatrace, Elastic Cloud, Grafana Cloud</t>
  </si>
  <si>
    <t xml:space="preserve">Mailchimp</t>
  </si>
  <si>
    <t xml:space="preserve">Intuit</t>
  </si>
  <si>
    <t xml:space="preserve">Adobe Experience Manager, Braze, Optimizely, Sprinklr</t>
  </si>
  <si>
    <t xml:space="preserve">n/a</t>
  </si>
  <si>
    <t xml:space="preserve">Microsoft 365 E5</t>
  </si>
  <si>
    <t xml:space="preserve">Microsoft 365 E3, Google Workspace Enterprise</t>
  </si>
  <si>
    <t xml:space="preserve">Microsoft Defender for Endpoint</t>
  </si>
  <si>
    <t xml:space="preserve">CrowdStrike Falcon, SentinelOne Singularity</t>
  </si>
  <si>
    <t xml:space="preserve">Microsoft Dynamics 365 Sales</t>
  </si>
  <si>
    <t xml:space="preserve">Salesforce Sales Cloud, HubSpot Sales Hub</t>
  </si>
  <si>
    <t xml:space="preserve">Okta Workforce Identity, JumpCloud</t>
  </si>
  <si>
    <t xml:space="preserve">Microsoft Power BI Pro</t>
  </si>
  <si>
    <t xml:space="preserve">Tableau Creator/Viewer, Looker</t>
  </si>
  <si>
    <t xml:space="preserve">Microsoft Teams</t>
  </si>
  <si>
    <t xml:space="preserve">Slack Business+</t>
  </si>
  <si>
    <t xml:space="preserve">Mimecast Email Security</t>
  </si>
  <si>
    <t xml:space="preserve">Mimecast</t>
  </si>
  <si>
    <t xml:space="preserve">Abnormal Security, Proofpoint Email Protection</t>
  </si>
  <si>
    <t xml:space="preserve">Miro</t>
  </si>
  <si>
    <t xml:space="preserve">Monday.com Work Management</t>
  </si>
  <si>
    <t xml:space="preserve">monday.com</t>
  </si>
  <si>
    <t xml:space="preserve">Asana Business, Smartsheet Business</t>
  </si>
  <si>
    <t xml:space="preserve">MongoDB Atlas</t>
  </si>
  <si>
    <t xml:space="preserve">MongoDB</t>
  </si>
  <si>
    <t xml:space="preserve">Couchbase Capella, Neo4j AuraDB, Redis Cloud</t>
  </si>
  <si>
    <t xml:space="preserve">N2W Backup &amp; Recovery</t>
  </si>
  <si>
    <t xml:space="preserve">N2W Software</t>
  </si>
  <si>
    <t xml:space="preserve">Acronis Cyber Protect, Cohesity DataProtect, Commvault Cloud, Druva</t>
  </si>
  <si>
    <t xml:space="preserve">Neo4j AuraDB</t>
  </si>
  <si>
    <t xml:space="preserve">Neo4j</t>
  </si>
  <si>
    <t xml:space="preserve">Couchbase Capella, MongoDB Atlas, Redis Cloud</t>
  </si>
  <si>
    <t xml:space="preserve">Nerdio Manager</t>
  </si>
  <si>
    <t xml:space="preserve">Nerdio</t>
  </si>
  <si>
    <t xml:space="preserve">Citrix DaaS, Omnissa Horizon</t>
  </si>
  <si>
    <t xml:space="preserve">Netskope One</t>
  </si>
  <si>
    <t xml:space="preserve">Netskope</t>
  </si>
  <si>
    <t xml:space="preserve">Cloudflare Zero Trust, Palo Alto Networks Prisma Access, Zscaler Internet Access</t>
  </si>
  <si>
    <t xml:space="preserve">New Relic</t>
  </si>
  <si>
    <t xml:space="preserve">NICE CXone</t>
  </si>
  <si>
    <t xml:space="preserve">NICE</t>
  </si>
  <si>
    <t xml:space="preserve">Genesys Cloud CX, Talkdesk, Five9</t>
  </si>
  <si>
    <t xml:space="preserve">Notion Labs</t>
  </si>
  <si>
    <t xml:space="preserve">Okta</t>
  </si>
  <si>
    <t xml:space="preserve">Microsoft Entra ID P1, Ping Identity, JumpCloud</t>
  </si>
  <si>
    <t xml:space="preserve">Omnissa Horizon</t>
  </si>
  <si>
    <t xml:space="preserve">Omnissa</t>
  </si>
  <si>
    <t xml:space="preserve">Citrix DaaS, Nerdio Manager</t>
  </si>
  <si>
    <t xml:space="preserve">Optimizely</t>
  </si>
  <si>
    <t xml:space="preserve">Adobe Experience Manager, Braze, Mailchimp, Sprinklr</t>
  </si>
  <si>
    <t xml:space="preserve">Oracle NetSuite</t>
  </si>
  <si>
    <t xml:space="preserve">Oracle</t>
  </si>
  <si>
    <t xml:space="preserve">Infor CloudSuite, SAP S/4HANA Cloud</t>
  </si>
  <si>
    <t xml:space="preserve">Orca Security</t>
  </si>
  <si>
    <t xml:space="preserve">Aqua Security, Prisma Cloud, Wiz</t>
  </si>
  <si>
    <t xml:space="preserve">Outreach</t>
  </si>
  <si>
    <t xml:space="preserve">PagerDuty</t>
  </si>
  <si>
    <t xml:space="preserve">Palo Alto Networks Cortex XDR</t>
  </si>
  <si>
    <t xml:space="preserve">Palo Alto Networks</t>
  </si>
  <si>
    <t xml:space="preserve">CrowdStrike Falcon, SentinelOne Singularity, Sophos Intercept X, Trend Vision One</t>
  </si>
  <si>
    <t xml:space="preserve">Palo Alto Networks Prisma Access</t>
  </si>
  <si>
    <t xml:space="preserve">Cloudflare Zero Trust, Netskope One, Zscaler Internet Access</t>
  </si>
  <si>
    <t xml:space="preserve">Ping Identity</t>
  </si>
  <si>
    <t xml:space="preserve">Cisco Duo, JumpCloud, Okta Workforce Identity, Microsoft Entra ID P1</t>
  </si>
  <si>
    <t xml:space="preserve">Pipedrive</t>
  </si>
  <si>
    <t xml:space="preserve">HubSpot Sales Hub, Zoho CRM</t>
  </si>
  <si>
    <t xml:space="preserve">Postman</t>
  </si>
  <si>
    <t xml:space="preserve">Prisma Cloud</t>
  </si>
  <si>
    <t xml:space="preserve">Aqua Security, Orca Security, Wiz</t>
  </si>
  <si>
    <t xml:space="preserve">Proofpoint Email Protection</t>
  </si>
  <si>
    <t xml:space="preserve">Proofpoint</t>
  </si>
  <si>
    <t xml:space="preserve">Abnormal Security, Mimecast Email Security</t>
  </si>
  <si>
    <t xml:space="preserve">Qlik Sense</t>
  </si>
  <si>
    <t xml:space="preserve">Qlik</t>
  </si>
  <si>
    <t xml:space="preserve">Microsoft Power BI Pro, Tableau Creator/Viewer</t>
  </si>
  <si>
    <t xml:space="preserve">Qualys VMDR</t>
  </si>
  <si>
    <t xml:space="preserve">Qualys</t>
  </si>
  <si>
    <t xml:space="preserve">Rapid7 InsightVM, Tenable Vulnerability Management</t>
  </si>
  <si>
    <t xml:space="preserve">Rapid7 InsightVM</t>
  </si>
  <si>
    <t xml:space="preserve">Rapid7</t>
  </si>
  <si>
    <t xml:space="preserve">Qualys VMDR, Tenable Vulnerability Management</t>
  </si>
  <si>
    <t xml:space="preserve">Redis Cloud</t>
  </si>
  <si>
    <t xml:space="preserve">Redis</t>
  </si>
  <si>
    <t xml:space="preserve">Couchbase Capella, MongoDB Atlas, Neo4j AuraDB</t>
  </si>
  <si>
    <t xml:space="preserve">RingCentral RingEX</t>
  </si>
  <si>
    <t xml:space="preserve">RingCentral</t>
  </si>
  <si>
    <t xml:space="preserve">Rippling</t>
  </si>
  <si>
    <t xml:space="preserve">ADP Workforce Now, BambooHR, SAP SuccessFactors, UKG Pro</t>
  </si>
  <si>
    <t xml:space="preserve">Rubrik Security Cloud</t>
  </si>
  <si>
    <t xml:space="preserve">Rubrik</t>
  </si>
  <si>
    <t xml:space="preserve">SailPoint Identity Security Cloud</t>
  </si>
  <si>
    <t xml:space="preserve">SailPoint</t>
  </si>
  <si>
    <t xml:space="preserve">Salesforce Sales Cloud</t>
  </si>
  <si>
    <t xml:space="preserve">Salesforce</t>
  </si>
  <si>
    <t xml:space="preserve">HubSpot Sales Hub, Microsoft Dynamics 365 Sales, Zoho CRM</t>
  </si>
  <si>
    <t xml:space="preserve">SAP</t>
  </si>
  <si>
    <t xml:space="preserve">SAP S/4HANA Cloud</t>
  </si>
  <si>
    <t xml:space="preserve">Infor CloudSuite, Oracle NetSuite</t>
  </si>
  <si>
    <t xml:space="preserve">SAP SuccessFactors</t>
  </si>
  <si>
    <t xml:space="preserve">ADP Workforce Now, BambooHR, Rippling, UKG Pro</t>
  </si>
  <si>
    <t xml:space="preserve">SentinelOne Singularity</t>
  </si>
  <si>
    <t xml:space="preserve">SentinelOne</t>
  </si>
  <si>
    <t xml:space="preserve">CrowdStrike Falcon, Microsoft Defender for Endpoint</t>
  </si>
  <si>
    <t xml:space="preserve">ServiceNow ITSM</t>
  </si>
  <si>
    <t xml:space="preserve">ServiceNow</t>
  </si>
  <si>
    <t xml:space="preserve">Jira Service Management, Freshservice</t>
  </si>
  <si>
    <t xml:space="preserve">Sisense</t>
  </si>
  <si>
    <t xml:space="preserve">Domo, Qlik Sense, Tableau Creator/Viewer, ThoughtSpot</t>
  </si>
  <si>
    <t xml:space="preserve">Smartsheet Business</t>
  </si>
  <si>
    <t xml:space="preserve">Smartsheet</t>
  </si>
  <si>
    <t xml:space="preserve">Monday.com Work Management, Asana Business</t>
  </si>
  <si>
    <t xml:space="preserve">Snowflake</t>
  </si>
  <si>
    <t xml:space="preserve">Cloudera Data Platform, Databricks, Teradata VantageCloud</t>
  </si>
  <si>
    <t xml:space="preserve">Snyk</t>
  </si>
  <si>
    <t xml:space="preserve">Checkmarx One, SonarQube, Veracode</t>
  </si>
  <si>
    <t xml:space="preserve">SonarQube</t>
  </si>
  <si>
    <t xml:space="preserve">SonarSource</t>
  </si>
  <si>
    <t xml:space="preserve">Checkmarx One, Snyk, Veracode</t>
  </si>
  <si>
    <t xml:space="preserve">Sophos Intercept X</t>
  </si>
  <si>
    <t xml:space="preserve">Sophos</t>
  </si>
  <si>
    <t xml:space="preserve">SentinelOne Singularity, CrowdStrike Falcon, Microsoft Defender for Endpoint</t>
  </si>
  <si>
    <t xml:space="preserve">Splunk Enterprise Security</t>
  </si>
  <si>
    <t xml:space="preserve">Splunk (Cisco)</t>
  </si>
  <si>
    <t xml:space="preserve">Sumo Logic</t>
  </si>
  <si>
    <t xml:space="preserve">Sprinklr</t>
  </si>
  <si>
    <t xml:space="preserve">Adobe Experience Manager, Braze, Mailchimp, Optimizely</t>
  </si>
  <si>
    <t xml:space="preserve">Tableau Creator/Viewer</t>
  </si>
  <si>
    <t xml:space="preserve">Microsoft Power BI Pro, Looker, Qlik Sense</t>
  </si>
  <si>
    <t xml:space="preserve">Talkdesk</t>
  </si>
  <si>
    <t xml:space="preserve">Genesys Cloud CX, NICE CXone, Five9</t>
  </si>
  <si>
    <t xml:space="preserve">TeamViewer Tensor</t>
  </si>
  <si>
    <t xml:space="preserve">TeamViewer</t>
  </si>
  <si>
    <t xml:space="preserve">Tenable Vulnerability Management</t>
  </si>
  <si>
    <t xml:space="preserve">Tenable</t>
  </si>
  <si>
    <t xml:space="preserve">Qualys VMDR, Rapid7 InsightVM</t>
  </si>
  <si>
    <t xml:space="preserve">Teradata VantageCloud</t>
  </si>
  <si>
    <t xml:space="preserve">Teradata</t>
  </si>
  <si>
    <t xml:space="preserve">Cloudera Data Platform, Databricks, Snowflake</t>
  </si>
  <si>
    <t xml:space="preserve">ThoughtSpot</t>
  </si>
  <si>
    <t xml:space="preserve">Domo, Qlik Sense, Sisense, Tableau Creator/Viewer</t>
  </si>
  <si>
    <t xml:space="preserve">Trellix Endpoint Security</t>
  </si>
  <si>
    <t xml:space="preserve">Trellix</t>
  </si>
  <si>
    <t xml:space="preserve">Trend Vision One</t>
  </si>
  <si>
    <t xml:space="preserve">Trend Micro</t>
  </si>
  <si>
    <t xml:space="preserve">CrowdStrike Falcon, SentinelOne Singularity, Sophos Intercept X, Microsoft Defender for Endpoint</t>
  </si>
  <si>
    <t xml:space="preserve">Twilio</t>
  </si>
  <si>
    <t xml:space="preserve">UKG Pro</t>
  </si>
  <si>
    <t xml:space="preserve">UKG</t>
  </si>
  <si>
    <t xml:space="preserve">ADP Workforce Now, BambooHR, Rippling, SAP SuccessFactors</t>
  </si>
  <si>
    <t xml:space="preserve">Veeam Data Platform</t>
  </si>
  <si>
    <t xml:space="preserve">Veeam</t>
  </si>
  <si>
    <t xml:space="preserve">Druva, Rubrik Security Cloud</t>
  </si>
  <si>
    <t xml:space="preserve">Veracode</t>
  </si>
  <si>
    <t xml:space="preserve">Checkmarx One, Snyk, SonarQube</t>
  </si>
  <si>
    <t xml:space="preserve">Webex Suite</t>
  </si>
  <si>
    <t xml:space="preserve">Microsoft Teams, Zoom Workplace Business</t>
  </si>
  <si>
    <t xml:space="preserve">Wiz</t>
  </si>
  <si>
    <t xml:space="preserve">Aqua Security, Orca Security, Prisma Cloud</t>
  </si>
  <si>
    <t xml:space="preserve">Workday HCM</t>
  </si>
  <si>
    <t xml:space="preserve">Workday</t>
  </si>
  <si>
    <t xml:space="preserve">Rippling, UKG Pro, ADP Workforce Now</t>
  </si>
  <si>
    <t xml:space="preserve">Wrike</t>
  </si>
  <si>
    <t xml:space="preserve">Asana Business, Monday.com Work Management, Smartsheet Business</t>
  </si>
  <si>
    <t xml:space="preserve">Zendesk Suite</t>
  </si>
  <si>
    <t xml:space="preserve">Zendesk</t>
  </si>
  <si>
    <t xml:space="preserve">Freshdesk, HubSpot Service Hub, Salesforce Service Cloud</t>
  </si>
  <si>
    <t xml:space="preserve">Zoho CRM</t>
  </si>
  <si>
    <t xml:space="preserve">Zoho</t>
  </si>
  <si>
    <t xml:space="preserve">HubSpot Sales Hub, Salesforce Sales Cloud, Microsoft Dynamics 365 Sales, Pipedrive</t>
  </si>
  <si>
    <t xml:space="preserve">Zoom Workplace Business</t>
  </si>
  <si>
    <t xml:space="preserve">Zoom</t>
  </si>
  <si>
    <t xml:space="preserve">Microsoft Teams, Webex Suite, Google Meet</t>
  </si>
  <si>
    <t xml:space="preserve">ZoomInfo</t>
  </si>
  <si>
    <t xml:space="preserve">Zscaler Internet Access</t>
  </si>
  <si>
    <t xml:space="preserve">Zscaler</t>
  </si>
  <si>
    <t xml:space="preserve">Cloudflare Zero Trust, Netskope One, Palo Alto Networks Prisma Access</t>
  </si>
  <si>
    <t xml:space="preserve">YesNo</t>
  </si>
  <si>
    <t xml:space="preserve">Criticality</t>
  </si>
  <si>
    <t xml:space="preserve">Sensitivity</t>
  </si>
  <si>
    <t xml:space="preserve">Billing</t>
  </si>
  <si>
    <t xml:space="preserve">Channel</t>
  </si>
  <si>
    <t xml:space="preserve">Satisfaction</t>
  </si>
  <si>
    <t xml:space="preserve">Openness</t>
  </si>
  <si>
    <t xml:space="preserve">Reason</t>
  </si>
  <si>
    <t xml:space="preserve">Outcome</t>
  </si>
  <si>
    <t xml:space="preserve">Industry</t>
  </si>
  <si>
    <t xml:space="preserve">Months</t>
  </si>
  <si>
    <t xml:space="preserve">Counts</t>
  </si>
  <si>
    <t xml:space="preserve">Public</t>
  </si>
  <si>
    <t xml:space="preserve">1</t>
  </si>
  <si>
    <t xml:space="preserve">Financial services</t>
  </si>
  <si>
    <t xml:space="preserve">January</t>
  </si>
  <si>
    <t xml:space="preserve">High</t>
  </si>
  <si>
    <t xml:space="preserve">Internal</t>
  </si>
  <si>
    <t xml:space="preserve">Monthly</t>
  </si>
  <si>
    <t xml:space="preserve">Reseller</t>
  </si>
  <si>
    <t xml:space="preserve">2</t>
  </si>
  <si>
    <t xml:space="preserve">Missing features</t>
  </si>
  <si>
    <t xml:space="preserve">Healthcare</t>
  </si>
  <si>
    <t xml:space="preserve">February</t>
  </si>
  <si>
    <t xml:space="preserve">Partly</t>
  </si>
  <si>
    <t xml:space="preserve">Medium</t>
  </si>
  <si>
    <t xml:space="preserve">Quarterly</t>
  </si>
  <si>
    <t xml:space="preserve">3</t>
  </si>
  <si>
    <t xml:space="preserve">Poor support</t>
  </si>
  <si>
    <t xml:space="preserve">Legal</t>
  </si>
  <si>
    <t xml:space="preserve">March</t>
  </si>
  <si>
    <t xml:space="preserve">Low</t>
  </si>
  <si>
    <t xml:space="preserve">Regulated (PII / PHI / PCI)</t>
  </si>
  <si>
    <t xml:space="preserve">Multi-year upfront</t>
  </si>
  <si>
    <t xml:space="preserve">4</t>
  </si>
  <si>
    <t xml:space="preserve">Overlaps another tool</t>
  </si>
  <si>
    <t xml:space="preserve">Logistics</t>
  </si>
  <si>
    <t xml:space="preserve">April</t>
  </si>
  <si>
    <t xml:space="preserve">Usage-based</t>
  </si>
  <si>
    <t xml:space="preserve">Google Cloud Marketplace</t>
  </si>
  <si>
    <t xml:space="preserve">5</t>
  </si>
  <si>
    <t xml:space="preserve">Security / compliance</t>
  </si>
  <si>
    <t xml:space="preserve">Manufacturing</t>
  </si>
  <si>
    <t xml:space="preserve">May</t>
  </si>
  <si>
    <t xml:space="preserve">Low adoption</t>
  </si>
  <si>
    <t xml:space="preserve">Retail</t>
  </si>
  <si>
    <t xml:space="preserve">June</t>
  </si>
  <si>
    <t xml:space="preserve">Vendor viability</t>
  </si>
  <si>
    <t xml:space="preserve">Software</t>
  </si>
  <si>
    <t xml:space="preserve">July</t>
  </si>
  <si>
    <t xml:space="preserve">Consolidation mandate</t>
  </si>
  <si>
    <t xml:space="preserve">Education</t>
  </si>
  <si>
    <t xml:space="preserve">August</t>
  </si>
  <si>
    <t xml:space="preserve">No reason to switch</t>
  </si>
  <si>
    <t xml:space="preserve">Public sector</t>
  </si>
  <si>
    <t xml:space="preserve">September</t>
  </si>
  <si>
    <t xml:space="preserve">Other</t>
  </si>
  <si>
    <t xml:space="preserve">Energy</t>
  </si>
  <si>
    <t xml:space="preserve">October</t>
  </si>
  <si>
    <t xml:space="preserve">Media</t>
  </si>
  <si>
    <t xml:space="preserve">November</t>
  </si>
  <si>
    <t xml:space="preserve">Professional services</t>
  </si>
  <si>
    <t xml:space="preserve">December</t>
  </si>
  <si>
    <t xml:space="preserve">Name or alias</t>
  </si>
  <si>
    <t xml:space="preserve">Salesforce Salesforce Sales Cloud</t>
  </si>
  <si>
    <t xml:space="preserve">salesforce</t>
  </si>
  <si>
    <t xml:space="preserve">sfdc</t>
  </si>
  <si>
    <t xml:space="preserve">sales cloud</t>
  </si>
  <si>
    <t xml:space="preserve">salesforce enterprise</t>
  </si>
  <si>
    <t xml:space="preserve">salesforce crm</t>
  </si>
  <si>
    <t xml:space="preserve">HubSpot HubSpot Sales Hub</t>
  </si>
  <si>
    <t xml:space="preserve">hubspot</t>
  </si>
  <si>
    <t xml:space="preserve">hubspot crm</t>
  </si>
  <si>
    <t xml:space="preserve">hubspot sales</t>
  </si>
  <si>
    <t xml:space="preserve">hubspot pro</t>
  </si>
  <si>
    <t xml:space="preserve">Pipedrive Pipedrive</t>
  </si>
  <si>
    <t xml:space="preserve">pipedrive crm</t>
  </si>
  <si>
    <t xml:space="preserve">Zoho Zoho CRM</t>
  </si>
  <si>
    <t xml:space="preserve">Microsoft Microsoft Dynamics 365 Sales</t>
  </si>
  <si>
    <t xml:space="preserve">dynamics</t>
  </si>
  <si>
    <t xml:space="preserve">dynamics 365</t>
  </si>
  <si>
    <t xml:space="preserve">d365 sales</t>
  </si>
  <si>
    <t xml:space="preserve">dynamics crm</t>
  </si>
  <si>
    <t xml:space="preserve">dynamics 365 sales</t>
  </si>
  <si>
    <t xml:space="preserve">Google Google Workspace Business Plus</t>
  </si>
  <si>
    <t xml:space="preserve">google workspace</t>
  </si>
  <si>
    <t xml:space="preserve">g suite</t>
  </si>
  <si>
    <t xml:space="preserve">gsuite</t>
  </si>
  <si>
    <t xml:space="preserve">gmail business</t>
  </si>
  <si>
    <t xml:space="preserve">Microsoft Microsoft 365 E3</t>
  </si>
  <si>
    <t xml:space="preserve">m365 e3</t>
  </si>
  <si>
    <t xml:space="preserve">office 365 e3</t>
  </si>
  <si>
    <t xml:space="preserve">o365 e3</t>
  </si>
  <si>
    <t xml:space="preserve">microsoft 365</t>
  </si>
  <si>
    <t xml:space="preserve">office 365</t>
  </si>
  <si>
    <t xml:space="preserve">m365</t>
  </si>
  <si>
    <t xml:space="preserve">o365</t>
  </si>
  <si>
    <t xml:space="preserve">Salesforce Slack Business+</t>
  </si>
  <si>
    <t xml:space="preserve">slack</t>
  </si>
  <si>
    <t xml:space="preserve">slack business</t>
  </si>
  <si>
    <t xml:space="preserve">slack enterprise grid</t>
  </si>
  <si>
    <t xml:space="preserve">slack pro</t>
  </si>
  <si>
    <t xml:space="preserve">Zoom Zoom Workplace Business</t>
  </si>
  <si>
    <t xml:space="preserve">zoom</t>
  </si>
  <si>
    <t xml:space="preserve">zoom meetings</t>
  </si>
  <si>
    <t xml:space="preserve">zoom business</t>
  </si>
  <si>
    <t xml:space="preserve">zoom one</t>
  </si>
  <si>
    <t xml:space="preserve">zoom workplace</t>
  </si>
  <si>
    <t xml:space="preserve">Cisco Webex Suite</t>
  </si>
  <si>
    <t xml:space="preserve">webex</t>
  </si>
  <si>
    <t xml:space="preserve">cisco webex</t>
  </si>
  <si>
    <t xml:space="preserve">RingCentral RingCentral RingEX</t>
  </si>
  <si>
    <t xml:space="preserve">ringcentral</t>
  </si>
  <si>
    <t xml:space="preserve">Miro Miro</t>
  </si>
  <si>
    <t xml:space="preserve">miro business</t>
  </si>
  <si>
    <t xml:space="preserve">miro enterprise</t>
  </si>
  <si>
    <t xml:space="preserve">Atlassian Atlassian Confluence</t>
  </si>
  <si>
    <t xml:space="preserve">confluence</t>
  </si>
  <si>
    <t xml:space="preserve">confluence cloud</t>
  </si>
  <si>
    <t xml:space="preserve">confluence premium</t>
  </si>
  <si>
    <t xml:space="preserve">Notion Labs Notion</t>
  </si>
  <si>
    <t xml:space="preserve">notion business</t>
  </si>
  <si>
    <t xml:space="preserve">notion plus</t>
  </si>
  <si>
    <t xml:space="preserve">notion enterprise</t>
  </si>
  <si>
    <t xml:space="preserve">Okta Okta Workforce Identity</t>
  </si>
  <si>
    <t xml:space="preserve">okta</t>
  </si>
  <si>
    <t xml:space="preserve">okta sso</t>
  </si>
  <si>
    <t xml:space="preserve">okta workforce</t>
  </si>
  <si>
    <t xml:space="preserve">okta mfa</t>
  </si>
  <si>
    <t xml:space="preserve">Ping Identity Ping Identity</t>
  </si>
  <si>
    <t xml:space="preserve">CyberArk CyberArk Identity Security</t>
  </si>
  <si>
    <t xml:space="preserve">cyberark</t>
  </si>
  <si>
    <t xml:space="preserve">SailPoint SailPoint Identity Security Cloud</t>
  </si>
  <si>
    <t xml:space="preserve">sailpoint</t>
  </si>
  <si>
    <t xml:space="preserve">JumpCloud JumpCloud</t>
  </si>
  <si>
    <t xml:space="preserve">BeyondTrust BeyondTrust</t>
  </si>
  <si>
    <t xml:space="preserve">Delinea Delinea Secret Server</t>
  </si>
  <si>
    <t xml:space="preserve">delinea</t>
  </si>
  <si>
    <t xml:space="preserve">1Password 1Password Business</t>
  </si>
  <si>
    <t xml:space="preserve">1password</t>
  </si>
  <si>
    <t xml:space="preserve">1 password</t>
  </si>
  <si>
    <t xml:space="preserve">Keeper Security Keeper Enterprise</t>
  </si>
  <si>
    <t xml:space="preserve">keeper security</t>
  </si>
  <si>
    <t xml:space="preserve">CrowdStrike CrowdStrike Falcon</t>
  </si>
  <si>
    <t xml:space="preserve">crowdstrike</t>
  </si>
  <si>
    <t xml:space="preserve">falcon</t>
  </si>
  <si>
    <t xml:space="preserve">crowdstrike falcon pro</t>
  </si>
  <si>
    <t xml:space="preserve">crowdstrike edr</t>
  </si>
  <si>
    <t xml:space="preserve">SentinelOne SentinelOne Singularity</t>
  </si>
  <si>
    <t xml:space="preserve">sentinelone</t>
  </si>
  <si>
    <t xml:space="preserve">sentinel one</t>
  </si>
  <si>
    <t xml:space="preserve">s1</t>
  </si>
  <si>
    <t xml:space="preserve">singularity</t>
  </si>
  <si>
    <t xml:space="preserve">Sophos Sophos Intercept X</t>
  </si>
  <si>
    <t xml:space="preserve">sophos</t>
  </si>
  <si>
    <t xml:space="preserve">intercept x</t>
  </si>
  <si>
    <t xml:space="preserve">sophos endpoint</t>
  </si>
  <si>
    <t xml:space="preserve">Trend Micro Trend Vision One</t>
  </si>
  <si>
    <t xml:space="preserve">trend micro vision one</t>
  </si>
  <si>
    <t xml:space="preserve">Palo Alto Networks Palo Alto Networks Cortex XDR</t>
  </si>
  <si>
    <t xml:space="preserve">cortex xdr</t>
  </si>
  <si>
    <t xml:space="preserve">Microsoft Microsoft Defender for Endpoint</t>
  </si>
  <si>
    <t xml:space="preserve">defender</t>
  </si>
  <si>
    <t xml:space="preserve">defender for endpoint</t>
  </si>
  <si>
    <t xml:space="preserve">mde</t>
  </si>
  <si>
    <t xml:space="preserve">microsoft defender</t>
  </si>
  <si>
    <t xml:space="preserve">Zscaler Zscaler Internet Access</t>
  </si>
  <si>
    <t xml:space="preserve">zscaler</t>
  </si>
  <si>
    <t xml:space="preserve">zia</t>
  </si>
  <si>
    <t xml:space="preserve">zscaler zia</t>
  </si>
  <si>
    <t xml:space="preserve">Netskope Netskope One</t>
  </si>
  <si>
    <t xml:space="preserve">netskope</t>
  </si>
  <si>
    <t xml:space="preserve">Palo Alto Networks Palo Alto Networks Prisma Access</t>
  </si>
  <si>
    <t xml:space="preserve">prisma access</t>
  </si>
  <si>
    <t xml:space="preserve">Cloudflare Cloudflare Zero Trust</t>
  </si>
  <si>
    <t xml:space="preserve">cloudflare</t>
  </si>
  <si>
    <t xml:space="preserve">Fortinet Fortinet FortiGate</t>
  </si>
  <si>
    <t xml:space="preserve">fortigate</t>
  </si>
  <si>
    <t xml:space="preserve">Check Point Check Point CloudGuard</t>
  </si>
  <si>
    <t xml:space="preserve">Cisco Cisco Duo</t>
  </si>
  <si>
    <t xml:space="preserve">Wiz Wiz</t>
  </si>
  <si>
    <t xml:space="preserve">wiz.io</t>
  </si>
  <si>
    <t xml:space="preserve">wiz cnapp</t>
  </si>
  <si>
    <t xml:space="preserve">wiz cloud security</t>
  </si>
  <si>
    <t xml:space="preserve">Orca Security Orca Security</t>
  </si>
  <si>
    <t xml:space="preserve">Palo Alto Networks Prisma Cloud</t>
  </si>
  <si>
    <t xml:space="preserve">Aqua Security Aqua Security</t>
  </si>
  <si>
    <t xml:space="preserve">Splunk (Cisco) Splunk Enterprise Security</t>
  </si>
  <si>
    <t xml:space="preserve">splunk</t>
  </si>
  <si>
    <t xml:space="preserve">splunk cloud</t>
  </si>
  <si>
    <t xml:space="preserve">splunk es</t>
  </si>
  <si>
    <t xml:space="preserve">Datadog Datadog</t>
  </si>
  <si>
    <t xml:space="preserve">datadog pro</t>
  </si>
  <si>
    <t xml:space="preserve">datadog enterprise</t>
  </si>
  <si>
    <t xml:space="preserve">dd</t>
  </si>
  <si>
    <t xml:space="preserve">Dynatrace Dynatrace</t>
  </si>
  <si>
    <t xml:space="preserve">New Relic New Relic</t>
  </si>
  <si>
    <t xml:space="preserve">newrelic</t>
  </si>
  <si>
    <t xml:space="preserve">Elastic Elastic Cloud</t>
  </si>
  <si>
    <t xml:space="preserve">Sumo Logic Sumo Logic</t>
  </si>
  <si>
    <t xml:space="preserve">Grafana Labs Grafana Cloud</t>
  </si>
  <si>
    <t xml:space="preserve">LogicMonitor LogicMonitor</t>
  </si>
  <si>
    <t xml:space="preserve">PagerDuty PagerDuty</t>
  </si>
  <si>
    <t xml:space="preserve">pagerduty business</t>
  </si>
  <si>
    <t xml:space="preserve">Proofpoint Proofpoint Email Protection</t>
  </si>
  <si>
    <t xml:space="preserve">proofpoint</t>
  </si>
  <si>
    <t xml:space="preserve">Mimecast Mimecast Email Security</t>
  </si>
  <si>
    <t xml:space="preserve">mimecast</t>
  </si>
  <si>
    <t xml:space="preserve">Abnormal Security Abnormal Security</t>
  </si>
  <si>
    <t xml:space="preserve">KnowBe4 KnowBe4 Security Awareness Training</t>
  </si>
  <si>
    <t xml:space="preserve">knowbe4</t>
  </si>
  <si>
    <t xml:space="preserve">kb4</t>
  </si>
  <si>
    <t xml:space="preserve">Tenable Tenable Vulnerability Management</t>
  </si>
  <si>
    <t xml:space="preserve">tenable</t>
  </si>
  <si>
    <t xml:space="preserve">Rapid7 Rapid7 InsightVM</t>
  </si>
  <si>
    <t xml:space="preserve">rapid7</t>
  </si>
  <si>
    <t xml:space="preserve">Qualys Qualys VMDR</t>
  </si>
  <si>
    <t xml:space="preserve">qualys</t>
  </si>
  <si>
    <t xml:space="preserve">Snyk Snyk</t>
  </si>
  <si>
    <t xml:space="preserve">snyk enterprise</t>
  </si>
  <si>
    <t xml:space="preserve">Veracode Veracode</t>
  </si>
  <si>
    <t xml:space="preserve">Checkmarx Checkmarx One</t>
  </si>
  <si>
    <t xml:space="preserve">checkmarx</t>
  </si>
  <si>
    <t xml:space="preserve">ServiceNow ServiceNow ITSM</t>
  </si>
  <si>
    <t xml:space="preserve">servicenow</t>
  </si>
  <si>
    <t xml:space="preserve">service now</t>
  </si>
  <si>
    <t xml:space="preserve">snow itsm</t>
  </si>
  <si>
    <t xml:space="preserve">servicenow itsm pro</t>
  </si>
  <si>
    <t xml:space="preserve">Atlassian Jira Service Management</t>
  </si>
  <si>
    <t xml:space="preserve">jsm</t>
  </si>
  <si>
    <t xml:space="preserve">jira service desk</t>
  </si>
  <si>
    <t xml:space="preserve">Freshworks Freshservice</t>
  </si>
  <si>
    <t xml:space="preserve">freshservice itsm</t>
  </si>
  <si>
    <t xml:space="preserve">Ivanti Ivanti Neurons for ITSM</t>
  </si>
  <si>
    <t xml:space="preserve">ivanti</t>
  </si>
  <si>
    <t xml:space="preserve">BMC BMC Helix ITSM</t>
  </si>
  <si>
    <t xml:space="preserve">bmc helix</t>
  </si>
  <si>
    <t xml:space="preserve">Zendesk Zendesk Suite</t>
  </si>
  <si>
    <t xml:space="preserve">zendesk</t>
  </si>
  <si>
    <t xml:space="preserve">zendesk support</t>
  </si>
  <si>
    <t xml:space="preserve">zendesk suite professional</t>
  </si>
  <si>
    <t xml:space="preserve">Freshworks Freshdesk</t>
  </si>
  <si>
    <t xml:space="preserve">freshdesk support</t>
  </si>
  <si>
    <t xml:space="preserve">Genesys Genesys Cloud CX</t>
  </si>
  <si>
    <t xml:space="preserve">genesys cloud</t>
  </si>
  <si>
    <t xml:space="preserve">Five9 Five9</t>
  </si>
  <si>
    <t xml:space="preserve">NICE NICE CXone</t>
  </si>
  <si>
    <t xml:space="preserve">Talkdesk Talkdesk</t>
  </si>
  <si>
    <t xml:space="preserve">Twilio Twilio</t>
  </si>
  <si>
    <t xml:space="preserve">Intercom Intercom</t>
  </si>
  <si>
    <t xml:space="preserve">Salesforce Tableau Creator/Viewer</t>
  </si>
  <si>
    <t xml:space="preserve">tableau</t>
  </si>
  <si>
    <t xml:space="preserve">tableau server</t>
  </si>
  <si>
    <t xml:space="preserve">tableau cloud</t>
  </si>
  <si>
    <t xml:space="preserve">Microsoft Microsoft Power BI Pro</t>
  </si>
  <si>
    <t xml:space="preserve">power bi</t>
  </si>
  <si>
    <t xml:space="preserve">powerbi</t>
  </si>
  <si>
    <t xml:space="preserve">pbi pro</t>
  </si>
  <si>
    <t xml:space="preserve">Qlik Qlik Sense</t>
  </si>
  <si>
    <t xml:space="preserve">qlik</t>
  </si>
  <si>
    <t xml:space="preserve">qlikview</t>
  </si>
  <si>
    <t xml:space="preserve">qlik sense business</t>
  </si>
  <si>
    <t xml:space="preserve">qlik cloud analytics</t>
  </si>
  <si>
    <t xml:space="preserve">ThoughtSpot ThoughtSpot</t>
  </si>
  <si>
    <t xml:space="preserve">Domo Domo</t>
  </si>
  <si>
    <t xml:space="preserve">Sisense Sisense</t>
  </si>
  <si>
    <t xml:space="preserve">Alteryx Alteryx</t>
  </si>
  <si>
    <t xml:space="preserve">Snowflake Snowflake</t>
  </si>
  <si>
    <t xml:space="preserve">snowflake data cloud</t>
  </si>
  <si>
    <t xml:space="preserve">snowflake enterprise</t>
  </si>
  <si>
    <t xml:space="preserve">snowflake ai data cloud</t>
  </si>
  <si>
    <t xml:space="preserve">Databricks Databricks</t>
  </si>
  <si>
    <t xml:space="preserve">databricks premium</t>
  </si>
  <si>
    <t xml:space="preserve">databricks lakehouse</t>
  </si>
  <si>
    <t xml:space="preserve">databricks on aws</t>
  </si>
  <si>
    <t xml:space="preserve">MongoDB MongoDB Atlas</t>
  </si>
  <si>
    <t xml:space="preserve">mongodb</t>
  </si>
  <si>
    <t xml:space="preserve">mongo atlas</t>
  </si>
  <si>
    <t xml:space="preserve">atlas</t>
  </si>
  <si>
    <t xml:space="preserve">Confluent Confluent Cloud</t>
  </si>
  <si>
    <t xml:space="preserve">confluent</t>
  </si>
  <si>
    <t xml:space="preserve">kafka (confluent)</t>
  </si>
  <si>
    <t xml:space="preserve">Fivetran Fivetran</t>
  </si>
  <si>
    <t xml:space="preserve">fivetran standard</t>
  </si>
  <si>
    <t xml:space="preserve">fivetran enterprise</t>
  </si>
  <si>
    <t xml:space="preserve">dbt Labs dbt Cloud</t>
  </si>
  <si>
    <t xml:space="preserve">Informatica Informatica Intelligent Data Management Cloud</t>
  </si>
  <si>
    <t xml:space="preserve">informatica</t>
  </si>
  <si>
    <t xml:space="preserve">Redis Redis Cloud</t>
  </si>
  <si>
    <t xml:space="preserve">Couchbase Couchbase Capella</t>
  </si>
  <si>
    <t xml:space="preserve">Teradata Teradata VantageCloud</t>
  </si>
  <si>
    <t xml:space="preserve">Cloudera Cloudera Data Platform</t>
  </si>
  <si>
    <t xml:space="preserve">cloudera</t>
  </si>
  <si>
    <t xml:space="preserve">Neo4j Neo4j AuraDB</t>
  </si>
  <si>
    <t xml:space="preserve">neo4j</t>
  </si>
  <si>
    <t xml:space="preserve">Dataiku Dataiku</t>
  </si>
  <si>
    <t xml:space="preserve">DataRobot DataRobot</t>
  </si>
  <si>
    <t xml:space="preserve">Microsoft GitHub Enterprise</t>
  </si>
  <si>
    <t xml:space="preserve">GitLab GitLab Ultimate</t>
  </si>
  <si>
    <t xml:space="preserve">gitlab</t>
  </si>
  <si>
    <t xml:space="preserve">gitlab premium</t>
  </si>
  <si>
    <t xml:space="preserve">gitlab saas</t>
  </si>
  <si>
    <t xml:space="preserve">Atlassian Jira Software</t>
  </si>
  <si>
    <t xml:space="preserve">jira</t>
  </si>
  <si>
    <t xml:space="preserve">jira cloud</t>
  </si>
  <si>
    <t xml:space="preserve">jira premium</t>
  </si>
  <si>
    <t xml:space="preserve">JFrog JFrog Platform</t>
  </si>
  <si>
    <t xml:space="preserve">jfrog</t>
  </si>
  <si>
    <t xml:space="preserve">artifactory</t>
  </si>
  <si>
    <t xml:space="preserve">jfrog artifactory</t>
  </si>
  <si>
    <t xml:space="preserve">HashiCorp (IBM) HashiCorp Terraform</t>
  </si>
  <si>
    <t xml:space="preserve">Harness Harness</t>
  </si>
  <si>
    <t xml:space="preserve">CircleCI CircleCI</t>
  </si>
  <si>
    <t xml:space="preserve">SonarSource SonarQube</t>
  </si>
  <si>
    <t xml:space="preserve">Postman Postman</t>
  </si>
  <si>
    <t xml:space="preserve">postman enterprise</t>
  </si>
  <si>
    <t xml:space="preserve">Docusign DocuSign eSignature</t>
  </si>
  <si>
    <t xml:space="preserve">docusign</t>
  </si>
  <si>
    <t xml:space="preserve">docu sign</t>
  </si>
  <si>
    <t xml:space="preserve">docusign business pro</t>
  </si>
  <si>
    <t xml:space="preserve">Adobe Adobe Acrobat Sign</t>
  </si>
  <si>
    <t xml:space="preserve">adobe sign</t>
  </si>
  <si>
    <t xml:space="preserve">acrobat sign</t>
  </si>
  <si>
    <t xml:space="preserve">echosign</t>
  </si>
  <si>
    <t xml:space="preserve">Adobe Adobe Acrobat Pro</t>
  </si>
  <si>
    <t xml:space="preserve">acrobat</t>
  </si>
  <si>
    <t xml:space="preserve">acrobat pro</t>
  </si>
  <si>
    <t xml:space="preserve">adobe acrobat</t>
  </si>
  <si>
    <t xml:space="preserve">acrobat dc</t>
  </si>
  <si>
    <t xml:space="preserve">Box Box Business</t>
  </si>
  <si>
    <t xml:space="preserve">box</t>
  </si>
  <si>
    <t xml:space="preserve">box.com</t>
  </si>
  <si>
    <t xml:space="preserve">box enterprise</t>
  </si>
  <si>
    <t xml:space="preserve">Dropbox Dropbox Business</t>
  </si>
  <si>
    <t xml:space="preserve">dropbox</t>
  </si>
  <si>
    <t xml:space="preserve">dropbox advanced</t>
  </si>
  <si>
    <t xml:space="preserve">dropbox team</t>
  </si>
  <si>
    <t xml:space="preserve">Egnyte Egnyte</t>
  </si>
  <si>
    <t xml:space="preserve">Asana Asana Business</t>
  </si>
  <si>
    <t xml:space="preserve">asana</t>
  </si>
  <si>
    <t xml:space="preserve">asana premium</t>
  </si>
  <si>
    <t xml:space="preserve">monday.com Monday.com Work Management</t>
  </si>
  <si>
    <t xml:space="preserve">monday</t>
  </si>
  <si>
    <t xml:space="preserve">monday com</t>
  </si>
  <si>
    <t xml:space="preserve">Smartsheet Smartsheet Business</t>
  </si>
  <si>
    <t xml:space="preserve">smartsheet</t>
  </si>
  <si>
    <t xml:space="preserve">Wrike Wrike</t>
  </si>
  <si>
    <t xml:space="preserve">Workday Workday HCM</t>
  </si>
  <si>
    <t xml:space="preserve">workday</t>
  </si>
  <si>
    <t xml:space="preserve">workday hr</t>
  </si>
  <si>
    <t xml:space="preserve">BambooHR BambooHR</t>
  </si>
  <si>
    <t xml:space="preserve">bamboo</t>
  </si>
  <si>
    <t xml:space="preserve">bamboo hr</t>
  </si>
  <si>
    <t xml:space="preserve">Rippling Rippling</t>
  </si>
  <si>
    <t xml:space="preserve">ADP ADP Workforce Now</t>
  </si>
  <si>
    <t xml:space="preserve">adp</t>
  </si>
  <si>
    <t xml:space="preserve">UKG UKG Pro</t>
  </si>
  <si>
    <t xml:space="preserve">ukg</t>
  </si>
  <si>
    <t xml:space="preserve">SAP SAP SuccessFactors</t>
  </si>
  <si>
    <t xml:space="preserve">SAP SAP Concur</t>
  </si>
  <si>
    <t xml:space="preserve">Coupa Coupa</t>
  </si>
  <si>
    <t xml:space="preserve">Oracle Oracle NetSuite</t>
  </si>
  <si>
    <t xml:space="preserve">netsuite</t>
  </si>
  <si>
    <t xml:space="preserve">SAP SAP S/4HANA Cloud</t>
  </si>
  <si>
    <t xml:space="preserve">sap s/4hana</t>
  </si>
  <si>
    <t xml:space="preserve">Infor Infor CloudSuite</t>
  </si>
  <si>
    <t xml:space="preserve">Veeam Veeam Data Platform</t>
  </si>
  <si>
    <t xml:space="preserve">veeam</t>
  </si>
  <si>
    <t xml:space="preserve">veeam backup</t>
  </si>
  <si>
    <t xml:space="preserve">veeam b&amp;r</t>
  </si>
  <si>
    <t xml:space="preserve">Druva Druva</t>
  </si>
  <si>
    <t xml:space="preserve">druva insync</t>
  </si>
  <si>
    <t xml:space="preserve">druva phoenix</t>
  </si>
  <si>
    <t xml:space="preserve">Rubrik Rubrik Security Cloud</t>
  </si>
  <si>
    <t xml:space="preserve">rubrik</t>
  </si>
  <si>
    <t xml:space="preserve">Commvault Commvault Cloud</t>
  </si>
  <si>
    <t xml:space="preserve">commvault</t>
  </si>
  <si>
    <t xml:space="preserve">Cohesity Cohesity DataProtect</t>
  </si>
  <si>
    <t xml:space="preserve">cohesity</t>
  </si>
  <si>
    <t xml:space="preserve">N2W Software N2W Backup &amp; Recovery</t>
  </si>
  <si>
    <t xml:space="preserve">n2ws</t>
  </si>
  <si>
    <t xml:space="preserve">Acronis Acronis Cyber Protect</t>
  </si>
  <si>
    <t xml:space="preserve">acronis</t>
  </si>
  <si>
    <t xml:space="preserve">Jamf Jamf Pro</t>
  </si>
  <si>
    <t xml:space="preserve">jamf</t>
  </si>
  <si>
    <t xml:space="preserve">NinjaOne NinjaOne</t>
  </si>
  <si>
    <t xml:space="preserve">TeamViewer TeamViewer Tensor</t>
  </si>
  <si>
    <t xml:space="preserve">teamviewer</t>
  </si>
  <si>
    <t xml:space="preserve">Cloud Software Group Citrix DaaS</t>
  </si>
  <si>
    <t xml:space="preserve">Omnissa Omnissa Horizon</t>
  </si>
  <si>
    <t xml:space="preserve">Nerdio Nerdio Manager</t>
  </si>
  <si>
    <t xml:space="preserve">nerdio</t>
  </si>
  <si>
    <t xml:space="preserve">Adobe Adobe Creative Cloud</t>
  </si>
  <si>
    <t xml:space="preserve">Figma Figma</t>
  </si>
  <si>
    <t xml:space="preserve">figma organization</t>
  </si>
  <si>
    <t xml:space="preserve">figma enterprise</t>
  </si>
  <si>
    <t xml:space="preserve">Canva Canva Enterprise</t>
  </si>
  <si>
    <t xml:space="preserve">canva</t>
  </si>
  <si>
    <t xml:space="preserve">Adobe Adobe Experience Manager</t>
  </si>
  <si>
    <t xml:space="preserve">Braze Braze</t>
  </si>
  <si>
    <t xml:space="preserve">Sprinklr Sprinklr</t>
  </si>
  <si>
    <t xml:space="preserve">Optimizely Optimizely</t>
  </si>
  <si>
    <t xml:space="preserve">Intuit Mailchimp</t>
  </si>
  <si>
    <t xml:space="preserve">Ironclad Ironclad</t>
  </si>
  <si>
    <t xml:space="preserve">Icertis Icertis</t>
  </si>
  <si>
    <t xml:space="preserve">Gong Gong</t>
  </si>
  <si>
    <t xml:space="preserve">Outreach Outreach</t>
  </si>
  <si>
    <t xml:space="preserve">ZoomInfo ZoomInfo</t>
  </si>
  <si>
    <t xml:space="preserve">Clio Clio Manage</t>
  </si>
  <si>
    <t xml:space="preserve">clio</t>
  </si>
  <si>
    <t xml:space="preserve">Autodesk Autodesk AutoCAD</t>
  </si>
  <si>
    <t xml:space="preserve">autodesk</t>
  </si>
  <si>
    <t xml:space="preserve">Trellix Trellix Endpoint Security</t>
  </si>
  <si>
    <t xml:space="preserve">trellix</t>
  </si>
  <si>
    <t xml:space="preserve">Vanta Vanta</t>
  </si>
  <si>
    <t xml:space="preserve">Drata Drata</t>
  </si>
  <si>
    <t xml:space="preserve">Microsoft Microsoft 365 E5</t>
  </si>
  <si>
    <t xml:space="preserve">m365 e5</t>
  </si>
  <si>
    <t xml:space="preserve">office 365 e5</t>
  </si>
  <si>
    <t xml:space="preserve">o365 e5</t>
  </si>
  <si>
    <t xml:space="preserve">Microsoft Microsoft Teams</t>
  </si>
  <si>
    <t xml:space="preserve">teams</t>
  </si>
  <si>
    <t xml:space="preserve">ms teams</t>
  </si>
  <si>
    <t xml:space="preserve">teams premium</t>
  </si>
  <si>
    <t xml:space="preserve">Microsoft Microsoft Entra ID P1</t>
  </si>
  <si>
    <t xml:space="preserve">entra</t>
  </si>
  <si>
    <t xml:space="preserve">entra id</t>
  </si>
  <si>
    <t xml:space="preserve">azure ad</t>
  </si>
  <si>
    <t xml:space="preserve">azure ad premium</t>
  </si>
  <si>
    <t xml:space="preserve">aad p1</t>
  </si>
  <si>
    <t xml:space="preserve">microsoft entra id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</si>
</sst>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;&quot;($&quot;#,##0\);\-"/>
    <numFmt numFmtId="167" formatCode="yyyy\-mm\-dd"/>
    <numFmt numFmtId="168" formatCode="General"/>
    <numFmt numFmtId="169" formatCode="0%"/>
    <numFmt numFmtId="170" formatCode="\$#,##0.00"/>
    <numFmt numFmtId="171" formatCode="mm/dd/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D6B5C"/>
      <name val="Arial"/>
      <family val="0"/>
      <charset val="1"/>
    </font>
    <font>
      <sz val="11"/>
      <color rgb="FF5A6A65"/>
      <name val="Arial"/>
      <family val="0"/>
      <charset val="1"/>
    </font>
    <font>
      <b val="true"/>
      <sz val="12"/>
      <color rgb="FF0D6B5C"/>
      <name val="Arial"/>
      <family val="0"/>
      <charset val="1"/>
    </font>
    <font>
      <b val="true"/>
      <sz val="10"/>
      <color rgb="FF1F2A27"/>
      <name val="Arial"/>
      <family val="0"/>
      <charset val="1"/>
    </font>
    <font>
      <sz val="10"/>
      <color rgb="FF1F2A27"/>
      <name val="Arial"/>
      <family val="0"/>
      <charset val="1"/>
    </font>
    <font>
      <i val="true"/>
      <sz val="9"/>
      <color rgb="FF5A6A65"/>
      <name val="Arial"/>
      <family val="0"/>
      <charset val="1"/>
    </font>
    <font>
      <b val="true"/>
      <sz val="16"/>
      <color rgb="FF0D6B5C"/>
      <name val="Arial"/>
      <family val="0"/>
      <charset val="1"/>
    </font>
    <font>
      <sz val="10"/>
      <color rgb="FF5A6A6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2"/>
    </font>
    <font>
      <sz val="9"/>
      <color rgb="FF5A6A65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7D6"/>
        <bgColor rgb="FFFBE9D0"/>
      </patternFill>
    </fill>
    <fill>
      <patternFill patternType="solid">
        <fgColor rgb="FFEEF1F0"/>
        <bgColor rgb="FFFFF7D6"/>
      </patternFill>
    </fill>
    <fill>
      <patternFill patternType="solid">
        <fgColor rgb="FF0D6B5C"/>
        <bgColor rgb="FF008080"/>
      </patternFill>
    </fill>
    <fill>
      <patternFill patternType="solid">
        <fgColor rgb="FF2F5D7C"/>
        <bgColor rgb="FF0D6B5C"/>
      </patternFill>
    </fill>
    <fill>
      <patternFill patternType="solid">
        <fgColor rgb="FF6B4E9B"/>
        <bgColor rgb="FF5A6A65"/>
      </patternFill>
    </fill>
    <fill>
      <patternFill patternType="solid">
        <fgColor rgb="FFA35A00"/>
        <bgColor rgb="FF808000"/>
      </patternFill>
    </fill>
    <fill>
      <patternFill patternType="solid">
        <fgColor rgb="FF9B2C48"/>
        <bgColor rgb="FF993366"/>
      </patternFill>
    </fill>
    <fill>
      <patternFill patternType="solid">
        <fgColor rgb="FF5A6A65"/>
        <bgColor rgb="FF2F5D7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BD8"/>
      </left>
      <right style="thin">
        <color rgb="FFD4DBD8"/>
      </right>
      <top style="thin">
        <color rgb="FFD4DBD8"/>
      </top>
      <bottom style="thin">
        <color rgb="FFD4DB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3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3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0D6B5C"/>
          <bgColor rgb="FF000000"/>
        </patternFill>
      </fill>
    </dxf>
    <dxf>
      <fill>
        <patternFill patternType="solid">
          <fgColor rgb="FFEEF1F0"/>
          <bgColor rgb="FF000000"/>
        </patternFill>
      </fill>
    </dxf>
    <dxf>
      <fill>
        <patternFill patternType="solid">
          <fgColor rgb="FF1F2A2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2F5D7C"/>
          <bgColor rgb="FF000000"/>
        </patternFill>
      </fill>
    </dxf>
    <dxf>
      <fill>
        <patternFill patternType="solid">
          <fgColor rgb="FF6B4E9B"/>
          <bgColor rgb="FF000000"/>
        </patternFill>
      </fill>
    </dxf>
    <dxf>
      <fill>
        <patternFill patternType="solid">
          <fgColor rgb="FFA35A00"/>
          <bgColor rgb="FF000000"/>
        </patternFill>
      </fill>
    </dxf>
    <dxf>
      <fill>
        <patternFill patternType="solid">
          <fgColor rgb="FFF7DCD9"/>
          <bgColor rgb="FF000000"/>
        </patternFill>
      </fill>
    </dxf>
    <dxf>
      <fill>
        <patternFill patternType="solid">
          <fgColor rgb="FFFBE9D0"/>
          <bgColor rgb="FF000000"/>
        </patternFill>
      </fill>
    </dxf>
    <dxf>
      <fill>
        <patternFill patternType="solid">
          <fgColor rgb="FF9B2C48"/>
          <bgColor rgb="FF000000"/>
        </patternFill>
      </fill>
    </dxf>
    <dxf>
      <fill>
        <patternFill patternType="solid">
          <fgColor rgb="FF5A6A65"/>
          <bgColor rgb="FF000000"/>
        </patternFill>
      </fill>
    </dxf>
    <dxf>
      <fill>
        <patternFill>
          <bgColor rgb="FFF7DCD9"/>
        </patternFill>
      </fill>
    </dxf>
    <dxf>
      <fill>
        <patternFill>
          <bgColor rgb="FFFBE9D0"/>
        </patternFill>
      </fill>
    </dxf>
    <dxf>
      <font>
        <name val="Arial"/>
        <charset val="1"/>
        <family val="0"/>
        <b val="1"/>
        <color rgb="FF0D6B5C"/>
      </font>
      <fill>
        <patternFill>
          <bgColor rgb="FFD5EBE5"/>
        </patternFill>
      </fill>
    </dxf>
    <dxf>
      <fill>
        <patternFill>
          <bgColor rgb="FFD5EBE5"/>
        </patternFill>
      </fill>
    </dxf>
    <dxf>
      <font>
        <name val="Arial"/>
        <charset val="1"/>
        <family val="0"/>
        <b val="1"/>
      </font>
      <fill>
        <patternFill>
          <bgColor rgb="FFFBE9D0"/>
        </patternFill>
      </fill>
    </dxf>
    <dxf>
      <font>
        <name val="Arial"/>
        <charset val="1"/>
        <family val="0"/>
        <color rgb="FFB0B8B5"/>
      </font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6B5C"/>
      <rgbColor rgb="FFB0B8B5"/>
      <rgbColor rgb="FF5A6A65"/>
      <rgbColor rgb="FF9999FF"/>
      <rgbColor rgb="FF9B2C48"/>
      <rgbColor rgb="FFFFF7D6"/>
      <rgbColor rgb="FFEEF1F0"/>
      <rgbColor rgb="FF660066"/>
      <rgbColor rgb="FFFF8080"/>
      <rgbColor rgb="FF0066CC"/>
      <rgbColor rgb="FFD4DB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BE5"/>
      <rgbColor rgb="FFFBE9D0"/>
      <rgbColor rgb="FF99CCFF"/>
      <rgbColor rgb="FFFF99CC"/>
      <rgbColor rgb="FFCC99FF"/>
      <rgbColor rgb="FFF7DCD9"/>
      <rgbColor rgb="FF3366FF"/>
      <rgbColor rgb="FF33CCCC"/>
      <rgbColor rgb="FF99CC00"/>
      <rgbColor rgb="FFFFCC00"/>
      <rgbColor rgb="FFFF9900"/>
      <rgbColor rgb="FFFF6600"/>
      <rgbColor rgb="FF6B4E9B"/>
      <rgbColor rgb="FF969696"/>
      <rgbColor rgb="FF003366"/>
      <rgbColor rgb="FF339966"/>
      <rgbColor rgb="FF003300"/>
      <rgbColor rgb="FF333300"/>
      <rgbColor rgb="FFA35A00"/>
      <rgbColor rgb="FF993366"/>
      <rgbColor rgb="FF2F5D7C"/>
      <rgbColor rgb="FF1F2A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6B5C"/>
    <pageSetUpPr fitToPage="false"/>
  </sheetPr>
  <dimension ref="B2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2"/>
  </cols>
  <sheetData>
    <row r="2" customFormat="false" ht="24.45" hidden="false" customHeight="false" outlineLevel="0" collapsed="false">
      <c r="B2" s="1" t="s">
        <v>0</v>
      </c>
    </row>
    <row r="3" customFormat="false" ht="31.5" hidden="false" customHeight="tru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</row>
    <row r="6" customFormat="false" ht="15" hidden="false" customHeight="true" outlineLevel="0" collapsed="false">
      <c r="B6" s="4" t="s">
        <v>3</v>
      </c>
      <c r="C6" s="5" t="s">
        <v>4</v>
      </c>
    </row>
    <row r="7" customFormat="false" ht="30" hidden="false" customHeight="true" outlineLevel="0" collapsed="false">
      <c r="B7" s="4" t="s">
        <v>5</v>
      </c>
      <c r="C7" s="5" t="s">
        <v>6</v>
      </c>
    </row>
    <row r="8" customFormat="false" ht="15" hidden="false" customHeight="true" outlineLevel="0" collapsed="false">
      <c r="B8" s="4" t="s">
        <v>7</v>
      </c>
      <c r="C8" s="5" t="s">
        <v>8</v>
      </c>
    </row>
    <row r="9" customFormat="false" ht="30" hidden="false" customHeight="tru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3" t="s">
        <v>11</v>
      </c>
    </row>
    <row r="11" customFormat="false" ht="15" hidden="false" customHeight="true" outlineLevel="0" collapsed="false">
      <c r="B11" s="6" t="s">
        <v>12</v>
      </c>
      <c r="C11" s="5" t="s">
        <v>13</v>
      </c>
    </row>
    <row r="12" customFormat="false" ht="15" hidden="false" customHeight="true" outlineLevel="0" collapsed="false">
      <c r="B12" s="7" t="s">
        <v>14</v>
      </c>
      <c r="C12" s="5" t="s">
        <v>15</v>
      </c>
    </row>
    <row r="13" customFormat="false" ht="15" hidden="false" customHeight="true" outlineLevel="0" collapsed="false">
      <c r="B13" s="4" t="s">
        <v>16</v>
      </c>
      <c r="C13" s="5" t="s">
        <v>17</v>
      </c>
    </row>
    <row r="14" customFormat="false" ht="30" hidden="false" customHeight="true" outlineLevel="0" collapsed="false">
      <c r="B14" s="4" t="s">
        <v>18</v>
      </c>
      <c r="C14" s="5" t="s">
        <v>19</v>
      </c>
    </row>
    <row r="15" customFormat="false" ht="15" hidden="false" customHeight="false" outlineLevel="0" collapsed="false">
      <c r="B15" s="3" t="s">
        <v>20</v>
      </c>
    </row>
    <row r="16" customFormat="false" ht="30" hidden="false" customHeight="true" outlineLevel="0" collapsed="false">
      <c r="B16" s="4" t="s">
        <v>21</v>
      </c>
      <c r="C16" s="5" t="s">
        <v>22</v>
      </c>
    </row>
    <row r="17" customFormat="false" ht="30" hidden="false" customHeight="true" outlineLevel="0" collapsed="false">
      <c r="B17" s="4" t="s">
        <v>23</v>
      </c>
      <c r="C17" s="5" t="s">
        <v>24</v>
      </c>
    </row>
    <row r="18" customFormat="false" ht="15" hidden="false" customHeight="true" outlineLevel="0" collapsed="false">
      <c r="B18" s="4" t="s">
        <v>25</v>
      </c>
      <c r="C18" s="5" t="s">
        <v>26</v>
      </c>
    </row>
    <row r="19" customFormat="false" ht="30" hidden="false" customHeight="true" outlineLevel="0" collapsed="false">
      <c r="B19" s="4" t="s">
        <v>27</v>
      </c>
      <c r="C19" s="5" t="s">
        <v>28</v>
      </c>
    </row>
    <row r="20" customFormat="false" ht="15" hidden="false" customHeight="true" outlineLevel="0" collapsed="false">
      <c r="B20" s="4" t="s">
        <v>29</v>
      </c>
      <c r="C20" s="5" t="s">
        <v>30</v>
      </c>
    </row>
    <row r="21" customFormat="false" ht="15" hidden="false" customHeight="false" outlineLevel="0" collapsed="false">
      <c r="B21" s="3" t="s">
        <v>31</v>
      </c>
    </row>
    <row r="22" customFormat="false" ht="60" hidden="false" customHeight="true" outlineLevel="0" collapsed="false">
      <c r="B22" s="4"/>
      <c r="C22" s="5" t="s">
        <v>32</v>
      </c>
    </row>
    <row r="23" customFormat="false" ht="15" hidden="false" customHeight="true" outlineLevel="0" collapsed="false">
      <c r="B23" s="4" t="s">
        <v>33</v>
      </c>
      <c r="C23" s="5" t="s">
        <v>34</v>
      </c>
    </row>
    <row r="25" customFormat="false" ht="15" hidden="false" customHeight="false" outlineLevel="0" collapsed="false">
      <c r="B25" s="8" t="s">
        <v>35</v>
      </c>
    </row>
  </sheetData>
  <mergeCells count="1"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D7C"/>
    <pageSetUpPr fitToPage="false"/>
  </sheetPr>
  <dimension ref="B2:C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44"/>
  </cols>
  <sheetData>
    <row r="2" customFormat="false" ht="19.7" hidden="false" customHeight="false" outlineLevel="0" collapsed="false">
      <c r="B2" s="9" t="s">
        <v>36</v>
      </c>
    </row>
    <row r="3" customFormat="false" ht="15" hidden="false" customHeight="false" outlineLevel="0" collapsed="false">
      <c r="B3" s="10" t="s">
        <v>37</v>
      </c>
    </row>
    <row r="5" customFormat="false" ht="15" hidden="false" customHeight="false" outlineLevel="0" collapsed="false">
      <c r="B5" s="11" t="s">
        <v>38</v>
      </c>
      <c r="C5" s="12"/>
    </row>
    <row r="6" customFormat="false" ht="15" hidden="false" customHeight="false" outlineLevel="0" collapsed="false">
      <c r="B6" s="13" t="s">
        <v>39</v>
      </c>
      <c r="C6" s="14"/>
    </row>
    <row r="7" customFormat="false" ht="15" hidden="false" customHeight="false" outlineLevel="0" collapsed="false">
      <c r="B7" s="13" t="s">
        <v>40</v>
      </c>
      <c r="C7" s="14"/>
    </row>
    <row r="8" customFormat="false" ht="15" hidden="false" customHeight="false" outlineLevel="0" collapsed="false">
      <c r="B8" s="13" t="s">
        <v>41</v>
      </c>
      <c r="C8" s="14"/>
    </row>
    <row r="9" customFormat="false" ht="15" hidden="false" customHeight="false" outlineLevel="0" collapsed="false">
      <c r="B9" s="13" t="s">
        <v>42</v>
      </c>
      <c r="C9" s="15"/>
    </row>
    <row r="10" customFormat="false" ht="15" hidden="false" customHeight="false" outlineLevel="0" collapsed="false">
      <c r="B10" s="13" t="s">
        <v>43</v>
      </c>
      <c r="C10" s="14"/>
    </row>
    <row r="11" customFormat="false" ht="15" hidden="false" customHeight="false" outlineLevel="0" collapsed="false">
      <c r="B11" s="13" t="s">
        <v>44</v>
      </c>
      <c r="C11" s="14"/>
    </row>
    <row r="12" customFormat="false" ht="15" hidden="false" customHeight="false" outlineLevel="0" collapsed="false">
      <c r="B12" s="11" t="s">
        <v>45</v>
      </c>
      <c r="C12" s="12"/>
    </row>
    <row r="13" customFormat="false" ht="15" hidden="false" customHeight="false" outlineLevel="0" collapsed="false">
      <c r="B13" s="13" t="s">
        <v>46</v>
      </c>
      <c r="C13" s="14"/>
    </row>
    <row r="14" customFormat="false" ht="15" hidden="false" customHeight="false" outlineLevel="0" collapsed="false">
      <c r="B14" s="13" t="s">
        <v>47</v>
      </c>
      <c r="C14" s="14"/>
    </row>
    <row r="15" customFormat="false" ht="15" hidden="false" customHeight="false" outlineLevel="0" collapsed="false">
      <c r="B15" s="13" t="s">
        <v>48</v>
      </c>
      <c r="C15" s="14"/>
    </row>
    <row r="16" customFormat="false" ht="15" hidden="false" customHeight="false" outlineLevel="0" collapsed="false">
      <c r="B16" s="13" t="s">
        <v>49</v>
      </c>
      <c r="C16" s="14"/>
    </row>
    <row r="17" customFormat="false" ht="15" hidden="false" customHeight="false" outlineLevel="0" collapsed="false">
      <c r="B17" s="13" t="s">
        <v>50</v>
      </c>
      <c r="C17" s="14"/>
    </row>
    <row r="18" customFormat="false" ht="15" hidden="false" customHeight="false" outlineLevel="0" collapsed="false">
      <c r="B18" s="13" t="s">
        <v>51</v>
      </c>
      <c r="C18" s="14"/>
    </row>
    <row r="19" customFormat="false" ht="15" hidden="false" customHeight="false" outlineLevel="0" collapsed="false">
      <c r="B19" s="11" t="s">
        <v>52</v>
      </c>
      <c r="C19" s="12"/>
    </row>
    <row r="20" customFormat="false" ht="15" hidden="false" customHeight="false" outlineLevel="0" collapsed="false">
      <c r="B20" s="13" t="s">
        <v>53</v>
      </c>
      <c r="C20" s="14"/>
    </row>
    <row r="21" customFormat="false" ht="15" hidden="false" customHeight="false" outlineLevel="0" collapsed="false">
      <c r="B21" s="13" t="s">
        <v>54</v>
      </c>
      <c r="C21" s="14"/>
    </row>
    <row r="22" customFormat="false" ht="15" hidden="false" customHeight="false" outlineLevel="0" collapsed="false">
      <c r="B22" s="13" t="s">
        <v>55</v>
      </c>
      <c r="C22" s="14"/>
    </row>
    <row r="23" customFormat="false" ht="15" hidden="false" customHeight="false" outlineLevel="0" collapsed="false">
      <c r="B23" s="13" t="s">
        <v>56</v>
      </c>
      <c r="C23" s="14"/>
    </row>
    <row r="24" customFormat="false" ht="15" hidden="false" customHeight="false" outlineLevel="0" collapsed="false">
      <c r="B24" s="13" t="s">
        <v>57</v>
      </c>
      <c r="C24" s="14"/>
    </row>
    <row r="25" customFormat="false" ht="15" hidden="false" customHeight="false" outlineLevel="0" collapsed="false">
      <c r="B25" s="13" t="s">
        <v>58</v>
      </c>
      <c r="C25" s="14"/>
    </row>
    <row r="26" customFormat="false" ht="15" hidden="false" customHeight="false" outlineLevel="0" collapsed="false">
      <c r="B26" s="13" t="s">
        <v>59</v>
      </c>
      <c r="C26" s="15"/>
    </row>
    <row r="27" customFormat="false" ht="15" hidden="false" customHeight="false" outlineLevel="0" collapsed="false">
      <c r="B27" s="13" t="s">
        <v>60</v>
      </c>
      <c r="C27" s="16"/>
    </row>
    <row r="28" customFormat="false" ht="15" hidden="false" customHeight="false" outlineLevel="0" collapsed="false">
      <c r="B28" s="11" t="s">
        <v>61</v>
      </c>
      <c r="C28" s="12"/>
    </row>
    <row r="29" customFormat="false" ht="15" hidden="false" customHeight="false" outlineLevel="0" collapsed="false">
      <c r="B29" s="13" t="s">
        <v>62</v>
      </c>
      <c r="C29" s="14"/>
    </row>
    <row r="30" customFormat="false" ht="15" hidden="false" customHeight="false" outlineLevel="0" collapsed="false">
      <c r="B30" s="13" t="s">
        <v>63</v>
      </c>
      <c r="C30" s="16"/>
    </row>
    <row r="31" customFormat="false" ht="15" hidden="false" customHeight="false" outlineLevel="0" collapsed="false">
      <c r="B31" s="13" t="s">
        <v>64</v>
      </c>
      <c r="C31" s="16"/>
    </row>
    <row r="32" customFormat="false" ht="15" hidden="false" customHeight="false" outlineLevel="0" collapsed="false">
      <c r="B32" s="13" t="s">
        <v>65</v>
      </c>
      <c r="C32" s="17"/>
    </row>
    <row r="33" customFormat="false" ht="15" hidden="false" customHeight="false" outlineLevel="0" collapsed="false">
      <c r="B33" s="13" t="s">
        <v>66</v>
      </c>
      <c r="C33" s="14"/>
    </row>
    <row r="34" customFormat="false" ht="15" hidden="false" customHeight="false" outlineLevel="0" collapsed="false">
      <c r="B34" s="13" t="s">
        <v>67</v>
      </c>
      <c r="C34" s="14"/>
    </row>
    <row r="35" customFormat="false" ht="15" hidden="false" customHeight="false" outlineLevel="0" collapsed="false">
      <c r="B35" s="13" t="s">
        <v>68</v>
      </c>
      <c r="C35" s="16"/>
    </row>
    <row r="36" customFormat="false" ht="15" hidden="false" customHeight="false" outlineLevel="0" collapsed="false">
      <c r="B36" s="13" t="s">
        <v>69</v>
      </c>
      <c r="C36" s="16"/>
    </row>
    <row r="37" customFormat="false" ht="15" hidden="false" customHeight="false" outlineLevel="0" collapsed="false">
      <c r="B37" s="13" t="s">
        <v>70</v>
      </c>
      <c r="C37" s="17"/>
    </row>
    <row r="38" customFormat="false" ht="15" hidden="false" customHeight="false" outlineLevel="0" collapsed="false">
      <c r="B38" s="13" t="s">
        <v>71</v>
      </c>
      <c r="C38" s="14"/>
    </row>
    <row r="39" customFormat="false" ht="15" hidden="false" customHeight="false" outlineLevel="0" collapsed="false">
      <c r="B39" s="11" t="s">
        <v>72</v>
      </c>
      <c r="C39" s="12"/>
    </row>
    <row r="40" customFormat="false" ht="15" hidden="false" customHeight="false" outlineLevel="0" collapsed="false">
      <c r="B40" s="13" t="s">
        <v>73</v>
      </c>
      <c r="C40" s="14"/>
    </row>
    <row r="41" customFormat="false" ht="15" hidden="false" customHeight="false" outlineLevel="0" collapsed="false">
      <c r="B41" s="13" t="s">
        <v>74</v>
      </c>
      <c r="C41" s="17"/>
    </row>
    <row r="42" customFormat="false" ht="15" hidden="false" customHeight="false" outlineLevel="0" collapsed="false">
      <c r="B42" s="13" t="s">
        <v>75</v>
      </c>
      <c r="C42" s="14"/>
    </row>
  </sheetData>
  <dataValidations count="12">
    <dataValidation allowBlank="true" errorStyle="stop" operator="between" showDropDown="false" showErrorMessage="false" showInputMessage="false" sqref="C8" type="list">
      <formula1>Lists!$J$2:$J$14</formula1>
      <formula2>0</formula2>
    </dataValidation>
    <dataValidation allowBlank="true" errorStyle="stop" operator="between" showDropDown="false" showErrorMessage="false" showInputMessage="false" sqref="C11" type="list">
      <formula1>Lists!$K$2:$K$13</formula1>
      <formula2>0</formula2>
    </dataValidation>
    <dataValidation allowBlank="true" errorStyle="stop" operator="between" showDropDown="false" showErrorMessage="false" showInputMessage="false" sqref="C20" type="list">
      <formula1>Lists!$A$2:$A$4</formula1>
      <formula2>0</formula2>
    </dataValidation>
    <dataValidation allowBlank="true" errorStyle="stop" operator="between" showDropDown="false" showErrorMessage="false" showInputMessage="false" sqref="C21" type="list">
      <formula1>Lists!$A$2:$A$4</formula1>
      <formula2>0</formula2>
    </dataValidation>
    <dataValidation allowBlank="true" errorStyle="stop" operator="between" showDropDown="false" showErrorMessage="false" showInputMessage="false" sqref="C22" type="list">
      <formula1>Lists!$A$2:$A$4</formula1>
      <formula2>0</formula2>
    </dataValidation>
    <dataValidation allowBlank="true" errorStyle="stop" operator="between" showDropDown="false" showErrorMessage="false" showInputMessage="false" sqref="C23" type="list">
      <formula1>Lists!$A$2:$A$4</formula1>
      <formula2>0</formula2>
    </dataValidation>
    <dataValidation allowBlank="true" errorStyle="stop" operator="between" showDropDown="false" showErrorMessage="false" showInputMessage="false" sqref="C24" type="list">
      <formula1>Lists!$A$2:$A$4</formula1>
      <formula2>0</formula2>
    </dataValidation>
    <dataValidation allowBlank="true" errorStyle="stop" operator="between" showDropDown="false" showErrorMessage="false" showInputMessage="false" sqref="C25" type="list">
      <formula1>Lists!$A$2:$A$4</formula1>
      <formula2>0</formula2>
    </dataValidation>
    <dataValidation allowBlank="true" errorStyle="stop" operator="between" showDropDown="false" showErrorMessage="false" showInputMessage="false" sqref="C29" type="list">
      <formula1>Lists!$A$2:$A$4</formula1>
      <formula2>0</formula2>
    </dataValidation>
    <dataValidation allowBlank="true" errorStyle="stop" operator="between" showDropDown="false" showErrorMessage="false" showInputMessage="false" sqref="C33" type="list">
      <formula1>Lists!$L$2:$L$5</formula1>
      <formula2>0</formula2>
    </dataValidation>
    <dataValidation allowBlank="true" errorStyle="stop" operator="between" showDropDown="false" showErrorMessage="false" showInputMessage="false" sqref="C34" type="list">
      <formula1>Lists!$A$2:$A$4</formula1>
      <formula2>0</formula2>
    </dataValidation>
    <dataValidation allowBlank="true" errorStyle="stop" operator="between" showDropDown="false" showErrorMessage="false" showInputMessage="false" sqref="C38" type="list">
      <formula1>Lists!$L$2:$L$5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5A00"/>
    <pageSetUpPr fitToPage="false"/>
  </sheetPr>
  <dimension ref="A1:AU2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7" min="5" style="0" width="18"/>
    <col collapsed="false" customWidth="true" hidden="false" outlineLevel="0" max="8" min="8" style="0" width="32"/>
    <col collapsed="false" customWidth="true" hidden="false" outlineLevel="0" max="9" min="9" style="0" width="26"/>
    <col collapsed="false" customWidth="true" hidden="false" outlineLevel="0" max="10" min="10" style="0" width="15"/>
    <col collapsed="false" customWidth="true" hidden="false" outlineLevel="0" max="11" min="11" style="0" width="24"/>
    <col collapsed="false" customWidth="true" hidden="false" outlineLevel="0" max="12" min="12" style="0" width="18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18" min="17" style="0" width="14"/>
    <col collapsed="false" customWidth="true" hidden="false" outlineLevel="0" max="19" min="19" style="0" width="15"/>
    <col collapsed="false" customWidth="true" hidden="false" outlineLevel="0" max="20" min="20" style="0" width="18"/>
    <col collapsed="false" customWidth="true" hidden="false" outlineLevel="0" max="21" min="21" style="0" width="13"/>
    <col collapsed="false" customWidth="true" hidden="false" outlineLevel="0" max="22" min="22" style="0" width="14"/>
    <col collapsed="false" customWidth="true" hidden="false" outlineLevel="0" max="23" min="23" style="0" width="10"/>
    <col collapsed="false" customWidth="true" hidden="false" outlineLevel="0" max="25" min="24" style="0" width="11"/>
    <col collapsed="false" customWidth="true" hidden="false" outlineLevel="0" max="26" min="26" style="0" width="13"/>
    <col collapsed="false" customWidth="true" hidden="false" outlineLevel="0" max="27" min="27" style="0" width="10"/>
    <col collapsed="false" customWidth="true" hidden="false" outlineLevel="0" max="28" min="28" style="0" width="14"/>
    <col collapsed="false" customWidth="true" hidden="false" outlineLevel="0" max="29" min="29" style="0" width="13"/>
    <col collapsed="false" customWidth="true" hidden="false" outlineLevel="0" max="30" min="30" style="0" width="12"/>
    <col collapsed="false" customWidth="true" hidden="false" outlineLevel="0" max="31" min="31" style="0" width="11"/>
    <col collapsed="false" customWidth="true" hidden="false" outlineLevel="0" max="32" min="32" style="0" width="28"/>
    <col collapsed="false" customWidth="true" hidden="false" outlineLevel="0" max="33" min="33" style="0" width="22"/>
    <col collapsed="false" customWidth="true" hidden="false" outlineLevel="0" max="34" min="34" style="0" width="24"/>
    <col collapsed="false" customWidth="true" hidden="false" outlineLevel="0" max="35" min="35" style="0" width="18"/>
    <col collapsed="false" customWidth="true" hidden="false" outlineLevel="0" max="36" min="36" style="0" width="24"/>
    <col collapsed="false" customWidth="true" hidden="false" outlineLevel="0" max="37" min="37" style="0" width="20"/>
    <col collapsed="false" customWidth="true" hidden="false" outlineLevel="0" max="38" min="38" style="0" width="18"/>
    <col collapsed="false" customWidth="true" hidden="false" outlineLevel="0" max="39" min="39" style="0" width="28"/>
    <col collapsed="false" customWidth="true" hidden="false" outlineLevel="0" max="40" min="40" style="0" width="24"/>
    <col collapsed="false" customWidth="true" hidden="false" outlineLevel="0" max="41" min="41" style="0" width="10"/>
    <col collapsed="false" customWidth="true" hidden="false" outlineLevel="0" max="42" min="42" style="0" width="16"/>
    <col collapsed="false" customWidth="true" hidden="false" outlineLevel="0" max="43" min="43" style="0" width="18"/>
    <col collapsed="false" customWidth="true" hidden="false" outlineLevel="0" max="45" min="44" style="0" width="13"/>
    <col collapsed="false" customWidth="true" hidden="false" outlineLevel="0" max="46" min="46" style="0" width="34"/>
    <col collapsed="false" customWidth="true" hidden="true" outlineLevel="0" max="47" min="47" style="0" width="4"/>
  </cols>
  <sheetData>
    <row r="1" customFormat="false" ht="19.7" hidden="false" customHeight="false" outlineLevel="0" collapsed="false">
      <c r="A1" s="9" t="s">
        <v>76</v>
      </c>
    </row>
    <row r="2" customFormat="false" ht="15" hidden="false" customHeight="false" outlineLevel="0" collapsed="false">
      <c r="A2" s="10" t="s">
        <v>77</v>
      </c>
    </row>
    <row r="3" customFormat="false" ht="15" hidden="false" customHeight="false" outlineLevel="0" collapsed="false">
      <c r="A3" s="18" t="str">
        <f aca="false">"Products listed: "&amp;COUNTA(B6:B255)&amp;"   ·   Annual spend: "&amp;TEXT(SUM(R6:R255),"$#,##0")</f>
        <v>Products listed: 1   ·   Annual spend: $58,500</v>
      </c>
    </row>
    <row r="4" customFormat="false" ht="15" hidden="false" customHeight="true" outlineLevel="0" collapsed="false">
      <c r="A4" s="19" t="s">
        <v>78</v>
      </c>
      <c r="B4" s="19"/>
      <c r="C4" s="19"/>
      <c r="D4" s="19"/>
      <c r="E4" s="20" t="s">
        <v>79</v>
      </c>
      <c r="F4" s="20"/>
      <c r="G4" s="20"/>
      <c r="H4" s="20"/>
      <c r="I4" s="20"/>
      <c r="J4" s="20"/>
      <c r="K4" s="20"/>
      <c r="L4" s="20"/>
      <c r="M4" s="21" t="s">
        <v>80</v>
      </c>
      <c r="N4" s="21"/>
      <c r="O4" s="21"/>
      <c r="P4" s="21"/>
      <c r="Q4" s="21"/>
      <c r="R4" s="21"/>
      <c r="S4" s="21"/>
      <c r="T4" s="21"/>
      <c r="U4" s="22" t="s">
        <v>81</v>
      </c>
      <c r="V4" s="22"/>
      <c r="W4" s="22"/>
      <c r="X4" s="22"/>
      <c r="Y4" s="22"/>
      <c r="Z4" s="22"/>
      <c r="AA4" s="22"/>
      <c r="AB4" s="22"/>
      <c r="AC4" s="22"/>
      <c r="AD4" s="22"/>
      <c r="AE4" s="23" t="s">
        <v>82</v>
      </c>
      <c r="AF4" s="23"/>
      <c r="AG4" s="23"/>
      <c r="AH4" s="23"/>
      <c r="AI4" s="23"/>
      <c r="AJ4" s="23"/>
      <c r="AK4" s="23"/>
      <c r="AL4" s="23"/>
      <c r="AM4" s="23"/>
      <c r="AN4" s="24" t="s">
        <v>83</v>
      </c>
      <c r="AO4" s="24"/>
      <c r="AP4" s="24"/>
      <c r="AQ4" s="24"/>
      <c r="AR4" s="24"/>
      <c r="AS4" s="24"/>
      <c r="AT4" s="24"/>
      <c r="AU4" s="24"/>
    </row>
    <row r="5" customFormat="false" ht="42" hidden="false" customHeight="true" outlineLevel="0" collapsed="false">
      <c r="A5" s="25" t="s">
        <v>84</v>
      </c>
      <c r="B5" s="25" t="s">
        <v>85</v>
      </c>
      <c r="C5" s="25" t="s">
        <v>86</v>
      </c>
      <c r="D5" s="25" t="s">
        <v>87</v>
      </c>
      <c r="E5" s="26" t="s">
        <v>88</v>
      </c>
      <c r="F5" s="26" t="s">
        <v>89</v>
      </c>
      <c r="G5" s="26" t="s">
        <v>90</v>
      </c>
      <c r="H5" s="26" t="s">
        <v>91</v>
      </c>
      <c r="I5" s="26" t="s">
        <v>92</v>
      </c>
      <c r="J5" s="26" t="s">
        <v>93</v>
      </c>
      <c r="K5" s="26" t="s">
        <v>94</v>
      </c>
      <c r="L5" s="26" t="s">
        <v>95</v>
      </c>
      <c r="M5" s="27" t="s">
        <v>96</v>
      </c>
      <c r="N5" s="27" t="s">
        <v>97</v>
      </c>
      <c r="O5" s="27" t="s">
        <v>98</v>
      </c>
      <c r="P5" s="27" t="s">
        <v>99</v>
      </c>
      <c r="Q5" s="27" t="s">
        <v>100</v>
      </c>
      <c r="R5" s="27" t="s">
        <v>101</v>
      </c>
      <c r="S5" s="27" t="s">
        <v>102</v>
      </c>
      <c r="T5" s="27" t="s">
        <v>103</v>
      </c>
      <c r="U5" s="28" t="s">
        <v>104</v>
      </c>
      <c r="V5" s="28" t="s">
        <v>105</v>
      </c>
      <c r="W5" s="28" t="s">
        <v>106</v>
      </c>
      <c r="X5" s="28" t="s">
        <v>107</v>
      </c>
      <c r="Y5" s="28" t="s">
        <v>108</v>
      </c>
      <c r="Z5" s="28" t="s">
        <v>109</v>
      </c>
      <c r="AA5" s="28" t="s">
        <v>110</v>
      </c>
      <c r="AB5" s="28" t="s">
        <v>111</v>
      </c>
      <c r="AC5" s="28" t="s">
        <v>112</v>
      </c>
      <c r="AD5" s="28" t="s">
        <v>113</v>
      </c>
      <c r="AE5" s="29" t="s">
        <v>114</v>
      </c>
      <c r="AF5" s="29" t="s">
        <v>115</v>
      </c>
      <c r="AG5" s="29" t="s">
        <v>116</v>
      </c>
      <c r="AH5" s="29" t="s">
        <v>117</v>
      </c>
      <c r="AI5" s="29" t="s">
        <v>118</v>
      </c>
      <c r="AJ5" s="29" t="s">
        <v>119</v>
      </c>
      <c r="AK5" s="29" t="s">
        <v>120</v>
      </c>
      <c r="AL5" s="29" t="s">
        <v>121</v>
      </c>
      <c r="AM5" s="29" t="s">
        <v>122</v>
      </c>
      <c r="AN5" s="30" t="s">
        <v>123</v>
      </c>
      <c r="AO5" s="30" t="s">
        <v>124</v>
      </c>
      <c r="AP5" s="30" t="s">
        <v>125</v>
      </c>
      <c r="AQ5" s="30" t="s">
        <v>126</v>
      </c>
      <c r="AR5" s="30" t="s">
        <v>127</v>
      </c>
      <c r="AS5" s="30" t="s">
        <v>128</v>
      </c>
      <c r="AT5" s="30" t="s">
        <v>129</v>
      </c>
      <c r="AU5" s="30" t="s">
        <v>130</v>
      </c>
    </row>
    <row r="6" customFormat="false" ht="30" hidden="false" customHeight="true" outlineLevel="0" collapsed="false">
      <c r="A6" s="31" t="n">
        <f aca="false">IF(B6="","",ROW()-5)</f>
        <v>1</v>
      </c>
      <c r="B6" s="32" t="s">
        <v>131</v>
      </c>
      <c r="C6" s="32" t="s">
        <v>132</v>
      </c>
      <c r="D6" s="32"/>
      <c r="E6" s="32" t="s">
        <v>133</v>
      </c>
      <c r="F6" s="32" t="s">
        <v>134</v>
      </c>
      <c r="G6" s="32" t="s">
        <v>135</v>
      </c>
      <c r="H6" s="33" t="s">
        <v>136</v>
      </c>
      <c r="I6" s="33" t="s">
        <v>137</v>
      </c>
      <c r="J6" s="32" t="s">
        <v>138</v>
      </c>
      <c r="K6" s="33" t="s">
        <v>139</v>
      </c>
      <c r="L6" s="32" t="s">
        <v>140</v>
      </c>
      <c r="M6" s="34" t="n">
        <v>650</v>
      </c>
      <c r="N6" s="34" t="n">
        <v>612</v>
      </c>
      <c r="O6" s="35" t="n">
        <f aca="false">IF(OR(M6="",N6="",M6=0),"",N6/M6)</f>
        <v>0.941538461538462</v>
      </c>
      <c r="P6" s="36"/>
      <c r="Q6" s="37" t="n">
        <v>58500</v>
      </c>
      <c r="R6" s="38" t="n">
        <f aca="false">IF(Q6&lt;&gt;"",Q6,IF(AND(P6&lt;&gt;"",M6&lt;&gt;""),P6*12*M6,""))</f>
        <v>58500</v>
      </c>
      <c r="S6" s="32" t="s">
        <v>141</v>
      </c>
      <c r="T6" s="32" t="s">
        <v>142</v>
      </c>
      <c r="U6" s="39" t="n">
        <v>45982</v>
      </c>
      <c r="V6" s="39" t="n">
        <v>46346</v>
      </c>
      <c r="W6" s="34" t="n">
        <v>12</v>
      </c>
      <c r="X6" s="32" t="s">
        <v>143</v>
      </c>
      <c r="Y6" s="34" t="n">
        <v>30</v>
      </c>
      <c r="Z6" s="40" t="n">
        <f aca="false">IF(OR(V6="",Y6=""),"",V6-Y6)</f>
        <v>46316</v>
      </c>
      <c r="AA6" s="41" t="n">
        <f aca="true">IF(V6="","",V6-TODAY())</f>
        <v>36</v>
      </c>
      <c r="AB6" s="42" t="str">
        <f aca="false">IF(V6="","",IF(AA6&lt;0,"Past due",IF(AA6&lt;=90,"0–90 days",IF(AA6&lt;=180,"91–180 days",IF(AA6&lt;=365,"181–365 days","Over a year")))))</f>
        <v>0–90 days</v>
      </c>
      <c r="AC6" s="43" t="n">
        <v>0.05</v>
      </c>
      <c r="AD6" s="32" t="s">
        <v>144</v>
      </c>
      <c r="AE6" s="32" t="n">
        <v>4</v>
      </c>
      <c r="AF6" s="33" t="s">
        <v>145</v>
      </c>
      <c r="AG6" s="32" t="s">
        <v>146</v>
      </c>
      <c r="AH6" s="33" t="s">
        <v>147</v>
      </c>
      <c r="AI6" s="32" t="s">
        <v>21</v>
      </c>
      <c r="AJ6" s="33" t="s">
        <v>148</v>
      </c>
      <c r="AK6" s="32" t="s">
        <v>149</v>
      </c>
      <c r="AL6" s="32" t="s">
        <v>150</v>
      </c>
      <c r="AM6" s="33" t="s">
        <v>151</v>
      </c>
      <c r="AN6" s="31" t="str">
        <f aca="false">IF(B6="","",IFERROR(INDEX(Lookup!$B$2:$B$3000,MATCH(TRIM(B6),Lookup!$A$2:$A$3000,0)),""))</f>
        <v>Okta Workforce Identity</v>
      </c>
      <c r="AO6" s="42" t="str">
        <f aca="false">IF(B6="","",IF(AN6="","No – will be reviewed","Yes"))</f>
        <v>Yes</v>
      </c>
      <c r="AP6" s="31" t="str">
        <f aca="false">IF(AN6="","",IFERROR(INDEX(Catalog!$B$5:$B$400,MATCH(AN6,Catalog!$A$5:$A$400,0)),""))</f>
        <v>Okta</v>
      </c>
      <c r="AQ6" s="31" t="str">
        <f aca="false">IF(AN6="","",IFERROR(INDEX(Catalog!$C$5:$C$400,MATCH(AN6,Catalog!$A$5:$A$400,0)),""))</f>
        <v>Identity</v>
      </c>
      <c r="AR6" s="31" t="str">
        <f aca="false">IF(AN6="","",IFERROR(INDEX(Catalog!$D$5:$D$400,MATCH(AN6,Catalog!$A$5:$A$400,0)),""))</f>
        <v>Listed</v>
      </c>
      <c r="AS6" s="31" t="str">
        <f aca="false">IF(AN6="","",IFERROR(INDEX(Catalog!$E$5:$E$400,MATCH(AN6,Catalog!$A$5:$A$400,0)),""))</f>
        <v>Add-in only</v>
      </c>
      <c r="AT6" s="44" t="str">
        <f aca="false">IF(AN6="","",IFERROR(INDEX(Catalog!$F$5:$F$400,MATCH(AN6,Catalog!$A$5:$A$400,0)),""))</f>
        <v>Microsoft Entra ID P1, Ping Identity, JumpCloud</v>
      </c>
      <c r="AU6" s="45" t="n">
        <f aca="false">IF(AND(B6&lt;&gt;"",ISNUMBER(V6)),V6+ROW()/100000,"")</f>
        <v>46346.00006</v>
      </c>
    </row>
    <row r="7" customFormat="false" ht="15" hidden="false" customHeight="false" outlineLevel="0" collapsed="false">
      <c r="A7" s="31" t="str">
        <f aca="false">IF(B7="","",ROW()-5)</f>
        <v/>
      </c>
      <c r="B7" s="32"/>
      <c r="C7" s="32"/>
      <c r="D7" s="32"/>
      <c r="E7" s="32"/>
      <c r="F7" s="32"/>
      <c r="G7" s="32"/>
      <c r="H7" s="33"/>
      <c r="I7" s="33"/>
      <c r="J7" s="32"/>
      <c r="K7" s="33"/>
      <c r="L7" s="32"/>
      <c r="M7" s="34"/>
      <c r="N7" s="34"/>
      <c r="O7" s="35" t="str">
        <f aca="false">IF(OR(M7="",N7="",M7=0),"",N7/M7)</f>
        <v/>
      </c>
      <c r="P7" s="36"/>
      <c r="Q7" s="37"/>
      <c r="R7" s="38" t="str">
        <f aca="false">IF(Q7&lt;&gt;"",Q7,IF(AND(P7&lt;&gt;"",M7&lt;&gt;""),P7*12*M7,""))</f>
        <v/>
      </c>
      <c r="S7" s="32"/>
      <c r="T7" s="32"/>
      <c r="U7" s="39"/>
      <c r="V7" s="39"/>
      <c r="W7" s="34"/>
      <c r="X7" s="32"/>
      <c r="Y7" s="34"/>
      <c r="Z7" s="40" t="str">
        <f aca="false">IF(OR(V7="",Y7=""),"",V7-Y7)</f>
        <v/>
      </c>
      <c r="AA7" s="41" t="str">
        <f aca="true">IF(V7="","",V7-TODAY())</f>
        <v/>
      </c>
      <c r="AB7" s="42" t="str">
        <f aca="false">IF(V7="","",IF(AA7&lt;0,"Past due",IF(AA7&lt;=90,"0–90 days",IF(AA7&lt;=180,"91–180 days",IF(AA7&lt;=365,"181–365 days","Over a year")))))</f>
        <v/>
      </c>
      <c r="AC7" s="43"/>
      <c r="AD7" s="32"/>
      <c r="AE7" s="32"/>
      <c r="AF7" s="33"/>
      <c r="AG7" s="32"/>
      <c r="AH7" s="33"/>
      <c r="AI7" s="32"/>
      <c r="AJ7" s="33"/>
      <c r="AK7" s="32"/>
      <c r="AL7" s="32"/>
      <c r="AM7" s="33"/>
      <c r="AN7" s="31" t="str">
        <f aca="false">IF(B7="","",IFERROR(INDEX(Lookup!$B$2:$B$3000,MATCH(TRIM(B7),Lookup!$A$2:$A$3000,0)),""))</f>
        <v/>
      </c>
      <c r="AO7" s="42" t="str">
        <f aca="false">IF(B7="","",IF(AN7="","No – will be reviewed","Yes"))</f>
        <v/>
      </c>
      <c r="AP7" s="31" t="str">
        <f aca="false">IF(AN7="","",IFERROR(INDEX(Catalog!$B$5:$B$400,MATCH(AN7,Catalog!$A$5:$A$400,0)),""))</f>
        <v/>
      </c>
      <c r="AQ7" s="31" t="str">
        <f aca="false">IF(AN7="","",IFERROR(INDEX(Catalog!$C$5:$C$400,MATCH(AN7,Catalog!$A$5:$A$400,0)),""))</f>
        <v/>
      </c>
      <c r="AR7" s="31" t="str">
        <f aca="false">IF(AN7="","",IFERROR(INDEX(Catalog!$D$5:$D$400,MATCH(AN7,Catalog!$A$5:$A$400,0)),""))</f>
        <v/>
      </c>
      <c r="AS7" s="31" t="str">
        <f aca="false">IF(AN7="","",IFERROR(INDEX(Catalog!$E$5:$E$400,MATCH(AN7,Catalog!$A$5:$A$400,0)),""))</f>
        <v/>
      </c>
      <c r="AT7" s="44" t="str">
        <f aca="false">IF(AN7="","",IFERROR(INDEX(Catalog!$F$5:$F$400,MATCH(AN7,Catalog!$A$5:$A$400,0)),""))</f>
        <v/>
      </c>
      <c r="AU7" s="31" t="str">
        <f aca="false">IF(AND(B7&lt;&gt;"",ISNUMBER(V7)),V7+ROW()/100000,"")</f>
        <v/>
      </c>
    </row>
    <row r="8" customFormat="false" ht="15" hidden="false" customHeight="false" outlineLevel="0" collapsed="false">
      <c r="A8" s="31" t="str">
        <f aca="false">IF(B8="","",ROW()-5)</f>
        <v/>
      </c>
      <c r="B8" s="32"/>
      <c r="C8" s="32"/>
      <c r="D8" s="32"/>
      <c r="E8" s="32"/>
      <c r="F8" s="32"/>
      <c r="G8" s="32"/>
      <c r="H8" s="33"/>
      <c r="I8" s="33"/>
      <c r="J8" s="32"/>
      <c r="K8" s="33"/>
      <c r="L8" s="32"/>
      <c r="M8" s="34"/>
      <c r="N8" s="34"/>
      <c r="O8" s="35" t="str">
        <f aca="false">IF(OR(M8="",N8="",M8=0),"",N8/M8)</f>
        <v/>
      </c>
      <c r="P8" s="36"/>
      <c r="Q8" s="37"/>
      <c r="R8" s="38" t="str">
        <f aca="false">IF(Q8&lt;&gt;"",Q8,IF(AND(P8&lt;&gt;"",M8&lt;&gt;""),P8*12*M8,""))</f>
        <v/>
      </c>
      <c r="S8" s="32"/>
      <c r="T8" s="32"/>
      <c r="U8" s="39"/>
      <c r="V8" s="39"/>
      <c r="W8" s="34"/>
      <c r="X8" s="32"/>
      <c r="Y8" s="34"/>
      <c r="Z8" s="40" t="str">
        <f aca="false">IF(OR(V8="",Y8=""),"",V8-Y8)</f>
        <v/>
      </c>
      <c r="AA8" s="41" t="str">
        <f aca="true">IF(V8="","",V8-TODAY())</f>
        <v/>
      </c>
      <c r="AB8" s="42" t="str">
        <f aca="false">IF(V8="","",IF(AA8&lt;0,"Past due",IF(AA8&lt;=90,"0–90 days",IF(AA8&lt;=180,"91–180 days",IF(AA8&lt;=365,"181–365 days","Over a year")))))</f>
        <v/>
      </c>
      <c r="AC8" s="43"/>
      <c r="AD8" s="32"/>
      <c r="AE8" s="32"/>
      <c r="AF8" s="33"/>
      <c r="AG8" s="32"/>
      <c r="AH8" s="33"/>
      <c r="AI8" s="32"/>
      <c r="AJ8" s="33"/>
      <c r="AK8" s="32"/>
      <c r="AL8" s="32"/>
      <c r="AM8" s="33"/>
      <c r="AN8" s="31" t="str">
        <f aca="false">IF(B8="","",IFERROR(INDEX(Lookup!$B$2:$B$3000,MATCH(TRIM(B8),Lookup!$A$2:$A$3000,0)),""))</f>
        <v/>
      </c>
      <c r="AO8" s="42" t="str">
        <f aca="false">IF(B8="","",IF(AN8="","No – will be reviewed","Yes"))</f>
        <v/>
      </c>
      <c r="AP8" s="31" t="str">
        <f aca="false">IF(AN8="","",IFERROR(INDEX(Catalog!$B$5:$B$400,MATCH(AN8,Catalog!$A$5:$A$400,0)),""))</f>
        <v/>
      </c>
      <c r="AQ8" s="31" t="str">
        <f aca="false">IF(AN8="","",IFERROR(INDEX(Catalog!$C$5:$C$400,MATCH(AN8,Catalog!$A$5:$A$400,0)),""))</f>
        <v/>
      </c>
      <c r="AR8" s="31" t="str">
        <f aca="false">IF(AN8="","",IFERROR(INDEX(Catalog!$D$5:$D$400,MATCH(AN8,Catalog!$A$5:$A$400,0)),""))</f>
        <v/>
      </c>
      <c r="AS8" s="31" t="str">
        <f aca="false">IF(AN8="","",IFERROR(INDEX(Catalog!$E$5:$E$400,MATCH(AN8,Catalog!$A$5:$A$400,0)),""))</f>
        <v/>
      </c>
      <c r="AT8" s="44" t="str">
        <f aca="false">IF(AN8="","",IFERROR(INDEX(Catalog!$F$5:$F$400,MATCH(AN8,Catalog!$A$5:$A$400,0)),""))</f>
        <v/>
      </c>
      <c r="AU8" s="31" t="str">
        <f aca="false">IF(AND(B8&lt;&gt;"",ISNUMBER(V8)),V8+ROW()/100000,"")</f>
        <v/>
      </c>
    </row>
    <row r="9" customFormat="false" ht="15" hidden="false" customHeight="false" outlineLevel="0" collapsed="false">
      <c r="A9" s="31" t="str">
        <f aca="false">IF(B9="","",ROW()-5)</f>
        <v/>
      </c>
      <c r="B9" s="32"/>
      <c r="C9" s="32"/>
      <c r="D9" s="32"/>
      <c r="E9" s="32"/>
      <c r="F9" s="32"/>
      <c r="G9" s="32"/>
      <c r="H9" s="33"/>
      <c r="I9" s="33"/>
      <c r="J9" s="32"/>
      <c r="K9" s="33"/>
      <c r="L9" s="32"/>
      <c r="M9" s="34"/>
      <c r="N9" s="34"/>
      <c r="O9" s="35" t="str">
        <f aca="false">IF(OR(M9="",N9="",M9=0),"",N9/M9)</f>
        <v/>
      </c>
      <c r="P9" s="36"/>
      <c r="Q9" s="37"/>
      <c r="R9" s="38" t="str">
        <f aca="false">IF(Q9&lt;&gt;"",Q9,IF(AND(P9&lt;&gt;"",M9&lt;&gt;""),P9*12*M9,""))</f>
        <v/>
      </c>
      <c r="S9" s="32"/>
      <c r="T9" s="32"/>
      <c r="U9" s="39"/>
      <c r="V9" s="39"/>
      <c r="W9" s="34"/>
      <c r="X9" s="32"/>
      <c r="Y9" s="34"/>
      <c r="Z9" s="40" t="str">
        <f aca="false">IF(OR(V9="",Y9=""),"",V9-Y9)</f>
        <v/>
      </c>
      <c r="AA9" s="41" t="str">
        <f aca="true">IF(V9="","",V9-TODAY())</f>
        <v/>
      </c>
      <c r="AB9" s="42" t="str">
        <f aca="false">IF(V9="","",IF(AA9&lt;0,"Past due",IF(AA9&lt;=90,"0–90 days",IF(AA9&lt;=180,"91–180 days",IF(AA9&lt;=365,"181–365 days","Over a year")))))</f>
        <v/>
      </c>
      <c r="AC9" s="43"/>
      <c r="AD9" s="32"/>
      <c r="AE9" s="32"/>
      <c r="AF9" s="33"/>
      <c r="AG9" s="32"/>
      <c r="AH9" s="33"/>
      <c r="AI9" s="32"/>
      <c r="AJ9" s="33"/>
      <c r="AK9" s="32"/>
      <c r="AL9" s="32"/>
      <c r="AM9" s="33"/>
      <c r="AN9" s="31" t="str">
        <f aca="false">IF(B9="","",IFERROR(INDEX(Lookup!$B$2:$B$3000,MATCH(TRIM(B9),Lookup!$A$2:$A$3000,0)),""))</f>
        <v/>
      </c>
      <c r="AO9" s="42" t="str">
        <f aca="false">IF(B9="","",IF(AN9="","No – will be reviewed","Yes"))</f>
        <v/>
      </c>
      <c r="AP9" s="31" t="str">
        <f aca="false">IF(AN9="","",IFERROR(INDEX(Catalog!$B$5:$B$400,MATCH(AN9,Catalog!$A$5:$A$400,0)),""))</f>
        <v/>
      </c>
      <c r="AQ9" s="31" t="str">
        <f aca="false">IF(AN9="","",IFERROR(INDEX(Catalog!$C$5:$C$400,MATCH(AN9,Catalog!$A$5:$A$400,0)),""))</f>
        <v/>
      </c>
      <c r="AR9" s="31" t="str">
        <f aca="false">IF(AN9="","",IFERROR(INDEX(Catalog!$D$5:$D$400,MATCH(AN9,Catalog!$A$5:$A$400,0)),""))</f>
        <v/>
      </c>
      <c r="AS9" s="31" t="str">
        <f aca="false">IF(AN9="","",IFERROR(INDEX(Catalog!$E$5:$E$400,MATCH(AN9,Catalog!$A$5:$A$400,0)),""))</f>
        <v/>
      </c>
      <c r="AT9" s="44" t="str">
        <f aca="false">IF(AN9="","",IFERROR(INDEX(Catalog!$F$5:$F$400,MATCH(AN9,Catalog!$A$5:$A$400,0)),""))</f>
        <v/>
      </c>
      <c r="AU9" s="31" t="str">
        <f aca="false">IF(AND(B9&lt;&gt;"",ISNUMBER(V9)),V9+ROW()/100000,"")</f>
        <v/>
      </c>
    </row>
    <row r="10" customFormat="false" ht="15" hidden="false" customHeight="false" outlineLevel="0" collapsed="false">
      <c r="A10" s="31" t="str">
        <f aca="false">IF(B10="","",ROW()-5)</f>
        <v/>
      </c>
      <c r="B10" s="32"/>
      <c r="C10" s="32"/>
      <c r="D10" s="32"/>
      <c r="E10" s="32"/>
      <c r="F10" s="32"/>
      <c r="G10" s="32"/>
      <c r="H10" s="33"/>
      <c r="I10" s="33"/>
      <c r="J10" s="32"/>
      <c r="K10" s="33"/>
      <c r="L10" s="32"/>
      <c r="M10" s="34"/>
      <c r="N10" s="34"/>
      <c r="O10" s="35" t="str">
        <f aca="false">IF(OR(M10="",N10="",M10=0),"",N10/M10)</f>
        <v/>
      </c>
      <c r="P10" s="36"/>
      <c r="Q10" s="37"/>
      <c r="R10" s="38" t="str">
        <f aca="false">IF(Q10&lt;&gt;"",Q10,IF(AND(P10&lt;&gt;"",M10&lt;&gt;""),P10*12*M10,""))</f>
        <v/>
      </c>
      <c r="S10" s="32"/>
      <c r="T10" s="32"/>
      <c r="U10" s="39"/>
      <c r="V10" s="39"/>
      <c r="W10" s="34"/>
      <c r="X10" s="32"/>
      <c r="Y10" s="34"/>
      <c r="Z10" s="40" t="str">
        <f aca="false">IF(OR(V10="",Y10=""),"",V10-Y10)</f>
        <v/>
      </c>
      <c r="AA10" s="41" t="str">
        <f aca="true">IF(V10="","",V10-TODAY())</f>
        <v/>
      </c>
      <c r="AB10" s="42" t="str">
        <f aca="false">IF(V10="","",IF(AA10&lt;0,"Past due",IF(AA10&lt;=90,"0–90 days",IF(AA10&lt;=180,"91–180 days",IF(AA10&lt;=365,"181–365 days","Over a year")))))</f>
        <v/>
      </c>
      <c r="AC10" s="43"/>
      <c r="AD10" s="32"/>
      <c r="AE10" s="32"/>
      <c r="AF10" s="33"/>
      <c r="AG10" s="32"/>
      <c r="AH10" s="33"/>
      <c r="AI10" s="32"/>
      <c r="AJ10" s="33"/>
      <c r="AK10" s="32"/>
      <c r="AL10" s="32"/>
      <c r="AM10" s="33"/>
      <c r="AN10" s="31" t="str">
        <f aca="false">IF(B10="","",IFERROR(INDEX(Lookup!$B$2:$B$3000,MATCH(TRIM(B10),Lookup!$A$2:$A$3000,0)),""))</f>
        <v/>
      </c>
      <c r="AO10" s="42" t="str">
        <f aca="false">IF(B10="","",IF(AN10="","No – will be reviewed","Yes"))</f>
        <v/>
      </c>
      <c r="AP10" s="31" t="str">
        <f aca="false">IF(AN10="","",IFERROR(INDEX(Catalog!$B$5:$B$400,MATCH(AN10,Catalog!$A$5:$A$400,0)),""))</f>
        <v/>
      </c>
      <c r="AQ10" s="31" t="str">
        <f aca="false">IF(AN10="","",IFERROR(INDEX(Catalog!$C$5:$C$400,MATCH(AN10,Catalog!$A$5:$A$400,0)),""))</f>
        <v/>
      </c>
      <c r="AR10" s="31" t="str">
        <f aca="false">IF(AN10="","",IFERROR(INDEX(Catalog!$D$5:$D$400,MATCH(AN10,Catalog!$A$5:$A$400,0)),""))</f>
        <v/>
      </c>
      <c r="AS10" s="31" t="str">
        <f aca="false">IF(AN10="","",IFERROR(INDEX(Catalog!$E$5:$E$400,MATCH(AN10,Catalog!$A$5:$A$400,0)),""))</f>
        <v/>
      </c>
      <c r="AT10" s="44" t="str">
        <f aca="false">IF(AN10="","",IFERROR(INDEX(Catalog!$F$5:$F$400,MATCH(AN10,Catalog!$A$5:$A$400,0)),""))</f>
        <v/>
      </c>
      <c r="AU10" s="31" t="str">
        <f aca="false">IF(AND(B10&lt;&gt;"",ISNUMBER(V10)),V10+ROW()/100000,"")</f>
        <v/>
      </c>
    </row>
    <row r="11" customFormat="false" ht="15" hidden="false" customHeight="false" outlineLevel="0" collapsed="false">
      <c r="A11" s="31" t="str">
        <f aca="false">IF(B11="","",ROW()-5)</f>
        <v/>
      </c>
      <c r="B11" s="32"/>
      <c r="C11" s="32"/>
      <c r="D11" s="32"/>
      <c r="E11" s="32"/>
      <c r="F11" s="32"/>
      <c r="G11" s="32"/>
      <c r="H11" s="33"/>
      <c r="I11" s="33"/>
      <c r="J11" s="32"/>
      <c r="K11" s="33"/>
      <c r="L11" s="32"/>
      <c r="M11" s="34"/>
      <c r="N11" s="34"/>
      <c r="O11" s="35" t="str">
        <f aca="false">IF(OR(M11="",N11="",M11=0),"",N11/M11)</f>
        <v/>
      </c>
      <c r="P11" s="36"/>
      <c r="Q11" s="37"/>
      <c r="R11" s="38" t="str">
        <f aca="false">IF(Q11&lt;&gt;"",Q11,IF(AND(P11&lt;&gt;"",M11&lt;&gt;""),P11*12*M11,""))</f>
        <v/>
      </c>
      <c r="S11" s="32"/>
      <c r="T11" s="32"/>
      <c r="U11" s="39"/>
      <c r="V11" s="39"/>
      <c r="W11" s="34"/>
      <c r="X11" s="32"/>
      <c r="Y11" s="34"/>
      <c r="Z11" s="40" t="str">
        <f aca="false">IF(OR(V11="",Y11=""),"",V11-Y11)</f>
        <v/>
      </c>
      <c r="AA11" s="41" t="str">
        <f aca="true">IF(V11="","",V11-TODAY())</f>
        <v/>
      </c>
      <c r="AB11" s="42" t="str">
        <f aca="false">IF(V11="","",IF(AA11&lt;0,"Past due",IF(AA11&lt;=90,"0–90 days",IF(AA11&lt;=180,"91–180 days",IF(AA11&lt;=365,"181–365 days","Over a year")))))</f>
        <v/>
      </c>
      <c r="AC11" s="43"/>
      <c r="AD11" s="32"/>
      <c r="AE11" s="32"/>
      <c r="AF11" s="33"/>
      <c r="AG11" s="32"/>
      <c r="AH11" s="33"/>
      <c r="AI11" s="32"/>
      <c r="AJ11" s="33"/>
      <c r="AK11" s="32"/>
      <c r="AL11" s="32"/>
      <c r="AM11" s="33"/>
      <c r="AN11" s="31" t="str">
        <f aca="false">IF(B11="","",IFERROR(INDEX(Lookup!$B$2:$B$3000,MATCH(TRIM(B11),Lookup!$A$2:$A$3000,0)),""))</f>
        <v/>
      </c>
      <c r="AO11" s="42" t="str">
        <f aca="false">IF(B11="","",IF(AN11="","No – will be reviewed","Yes"))</f>
        <v/>
      </c>
      <c r="AP11" s="31" t="str">
        <f aca="false">IF(AN11="","",IFERROR(INDEX(Catalog!$B$5:$B$400,MATCH(AN11,Catalog!$A$5:$A$400,0)),""))</f>
        <v/>
      </c>
      <c r="AQ11" s="31" t="str">
        <f aca="false">IF(AN11="","",IFERROR(INDEX(Catalog!$C$5:$C$400,MATCH(AN11,Catalog!$A$5:$A$400,0)),""))</f>
        <v/>
      </c>
      <c r="AR11" s="31" t="str">
        <f aca="false">IF(AN11="","",IFERROR(INDEX(Catalog!$D$5:$D$400,MATCH(AN11,Catalog!$A$5:$A$400,0)),""))</f>
        <v/>
      </c>
      <c r="AS11" s="31" t="str">
        <f aca="false">IF(AN11="","",IFERROR(INDEX(Catalog!$E$5:$E$400,MATCH(AN11,Catalog!$A$5:$A$400,0)),""))</f>
        <v/>
      </c>
      <c r="AT11" s="44" t="str">
        <f aca="false">IF(AN11="","",IFERROR(INDEX(Catalog!$F$5:$F$400,MATCH(AN11,Catalog!$A$5:$A$400,0)),""))</f>
        <v/>
      </c>
      <c r="AU11" s="31" t="str">
        <f aca="false">IF(AND(B11&lt;&gt;"",ISNUMBER(V11)),V11+ROW()/100000,"")</f>
        <v/>
      </c>
    </row>
    <row r="12" customFormat="false" ht="15" hidden="false" customHeight="false" outlineLevel="0" collapsed="false">
      <c r="A12" s="31" t="str">
        <f aca="false">IF(B12="","",ROW()-5)</f>
        <v/>
      </c>
      <c r="B12" s="32"/>
      <c r="C12" s="32"/>
      <c r="D12" s="32"/>
      <c r="E12" s="32"/>
      <c r="F12" s="32"/>
      <c r="G12" s="32"/>
      <c r="H12" s="33"/>
      <c r="I12" s="33"/>
      <c r="J12" s="32"/>
      <c r="K12" s="33"/>
      <c r="L12" s="32"/>
      <c r="M12" s="34"/>
      <c r="N12" s="34"/>
      <c r="O12" s="35" t="str">
        <f aca="false">IF(OR(M12="",N12="",M12=0),"",N12/M12)</f>
        <v/>
      </c>
      <c r="P12" s="36"/>
      <c r="Q12" s="37"/>
      <c r="R12" s="38" t="str">
        <f aca="false">IF(Q12&lt;&gt;"",Q12,IF(AND(P12&lt;&gt;"",M12&lt;&gt;""),P12*12*M12,""))</f>
        <v/>
      </c>
      <c r="S12" s="32"/>
      <c r="T12" s="32"/>
      <c r="U12" s="39"/>
      <c r="V12" s="39"/>
      <c r="W12" s="34"/>
      <c r="X12" s="32"/>
      <c r="Y12" s="34"/>
      <c r="Z12" s="40" t="str">
        <f aca="false">IF(OR(V12="",Y12=""),"",V12-Y12)</f>
        <v/>
      </c>
      <c r="AA12" s="41" t="str">
        <f aca="true">IF(V12="","",V12-TODAY())</f>
        <v/>
      </c>
      <c r="AB12" s="42" t="str">
        <f aca="false">IF(V12="","",IF(AA12&lt;0,"Past due",IF(AA12&lt;=90,"0–90 days",IF(AA12&lt;=180,"91–180 days",IF(AA12&lt;=365,"181–365 days","Over a year")))))</f>
        <v/>
      </c>
      <c r="AC12" s="43"/>
      <c r="AD12" s="32"/>
      <c r="AE12" s="32"/>
      <c r="AF12" s="33"/>
      <c r="AG12" s="32"/>
      <c r="AH12" s="33"/>
      <c r="AI12" s="32"/>
      <c r="AJ12" s="33"/>
      <c r="AK12" s="32"/>
      <c r="AL12" s="32"/>
      <c r="AM12" s="33"/>
      <c r="AN12" s="31" t="str">
        <f aca="false">IF(B12="","",IFERROR(INDEX(Lookup!$B$2:$B$3000,MATCH(TRIM(B12),Lookup!$A$2:$A$3000,0)),""))</f>
        <v/>
      </c>
      <c r="AO12" s="42" t="str">
        <f aca="false">IF(B12="","",IF(AN12="","No – will be reviewed","Yes"))</f>
        <v/>
      </c>
      <c r="AP12" s="31" t="str">
        <f aca="false">IF(AN12="","",IFERROR(INDEX(Catalog!$B$5:$B$400,MATCH(AN12,Catalog!$A$5:$A$400,0)),""))</f>
        <v/>
      </c>
      <c r="AQ12" s="31" t="str">
        <f aca="false">IF(AN12="","",IFERROR(INDEX(Catalog!$C$5:$C$400,MATCH(AN12,Catalog!$A$5:$A$400,0)),""))</f>
        <v/>
      </c>
      <c r="AR12" s="31" t="str">
        <f aca="false">IF(AN12="","",IFERROR(INDEX(Catalog!$D$5:$D$400,MATCH(AN12,Catalog!$A$5:$A$400,0)),""))</f>
        <v/>
      </c>
      <c r="AS12" s="31" t="str">
        <f aca="false">IF(AN12="","",IFERROR(INDEX(Catalog!$E$5:$E$400,MATCH(AN12,Catalog!$A$5:$A$400,0)),""))</f>
        <v/>
      </c>
      <c r="AT12" s="44" t="str">
        <f aca="false">IF(AN12="","",IFERROR(INDEX(Catalog!$F$5:$F$400,MATCH(AN12,Catalog!$A$5:$A$400,0)),""))</f>
        <v/>
      </c>
      <c r="AU12" s="31" t="str">
        <f aca="false">IF(AND(B12&lt;&gt;"",ISNUMBER(V12)),V12+ROW()/100000,"")</f>
        <v/>
      </c>
    </row>
    <row r="13" customFormat="false" ht="15" hidden="false" customHeight="false" outlineLevel="0" collapsed="false">
      <c r="A13" s="31" t="str">
        <f aca="false">IF(B13="","",ROW()-5)</f>
        <v/>
      </c>
      <c r="B13" s="32"/>
      <c r="C13" s="32"/>
      <c r="D13" s="32"/>
      <c r="E13" s="32"/>
      <c r="F13" s="32"/>
      <c r="G13" s="32"/>
      <c r="H13" s="33"/>
      <c r="I13" s="33"/>
      <c r="J13" s="32"/>
      <c r="K13" s="33"/>
      <c r="L13" s="32"/>
      <c r="M13" s="34"/>
      <c r="N13" s="34"/>
      <c r="O13" s="35" t="str">
        <f aca="false">IF(OR(M13="",N13="",M13=0),"",N13/M13)</f>
        <v/>
      </c>
      <c r="P13" s="36"/>
      <c r="Q13" s="37"/>
      <c r="R13" s="38" t="str">
        <f aca="false">IF(Q13&lt;&gt;"",Q13,IF(AND(P13&lt;&gt;"",M13&lt;&gt;""),P13*12*M13,""))</f>
        <v/>
      </c>
      <c r="S13" s="32"/>
      <c r="T13" s="32"/>
      <c r="U13" s="39"/>
      <c r="V13" s="39"/>
      <c r="W13" s="34"/>
      <c r="X13" s="32"/>
      <c r="Y13" s="34"/>
      <c r="Z13" s="40" t="str">
        <f aca="false">IF(OR(V13="",Y13=""),"",V13-Y13)</f>
        <v/>
      </c>
      <c r="AA13" s="41" t="str">
        <f aca="true">IF(V13="","",V13-TODAY())</f>
        <v/>
      </c>
      <c r="AB13" s="42" t="str">
        <f aca="false">IF(V13="","",IF(AA13&lt;0,"Past due",IF(AA13&lt;=90,"0–90 days",IF(AA13&lt;=180,"91–180 days",IF(AA13&lt;=365,"181–365 days","Over a year")))))</f>
        <v/>
      </c>
      <c r="AC13" s="43"/>
      <c r="AD13" s="32"/>
      <c r="AE13" s="32"/>
      <c r="AF13" s="33"/>
      <c r="AG13" s="32"/>
      <c r="AH13" s="33"/>
      <c r="AI13" s="32"/>
      <c r="AJ13" s="33"/>
      <c r="AK13" s="32"/>
      <c r="AL13" s="32"/>
      <c r="AM13" s="33"/>
      <c r="AN13" s="31" t="str">
        <f aca="false">IF(B13="","",IFERROR(INDEX(Lookup!$B$2:$B$3000,MATCH(TRIM(B13),Lookup!$A$2:$A$3000,0)),""))</f>
        <v/>
      </c>
      <c r="AO13" s="42" t="str">
        <f aca="false">IF(B13="","",IF(AN13="","No – will be reviewed","Yes"))</f>
        <v/>
      </c>
      <c r="AP13" s="31" t="str">
        <f aca="false">IF(AN13="","",IFERROR(INDEX(Catalog!$B$5:$B$400,MATCH(AN13,Catalog!$A$5:$A$400,0)),""))</f>
        <v/>
      </c>
      <c r="AQ13" s="31" t="str">
        <f aca="false">IF(AN13="","",IFERROR(INDEX(Catalog!$C$5:$C$400,MATCH(AN13,Catalog!$A$5:$A$400,0)),""))</f>
        <v/>
      </c>
      <c r="AR13" s="31" t="str">
        <f aca="false">IF(AN13="","",IFERROR(INDEX(Catalog!$D$5:$D$400,MATCH(AN13,Catalog!$A$5:$A$400,0)),""))</f>
        <v/>
      </c>
      <c r="AS13" s="31" t="str">
        <f aca="false">IF(AN13="","",IFERROR(INDEX(Catalog!$E$5:$E$400,MATCH(AN13,Catalog!$A$5:$A$400,0)),""))</f>
        <v/>
      </c>
      <c r="AT13" s="44" t="str">
        <f aca="false">IF(AN13="","",IFERROR(INDEX(Catalog!$F$5:$F$400,MATCH(AN13,Catalog!$A$5:$A$400,0)),""))</f>
        <v/>
      </c>
      <c r="AU13" s="31" t="str">
        <f aca="false">IF(AND(B13&lt;&gt;"",ISNUMBER(V13)),V13+ROW()/100000,"")</f>
        <v/>
      </c>
    </row>
    <row r="14" customFormat="false" ht="15" hidden="false" customHeight="false" outlineLevel="0" collapsed="false">
      <c r="A14" s="31" t="str">
        <f aca="false">IF(B14="","",ROW()-5)</f>
        <v/>
      </c>
      <c r="B14" s="32"/>
      <c r="C14" s="32"/>
      <c r="D14" s="32"/>
      <c r="E14" s="32"/>
      <c r="F14" s="32"/>
      <c r="G14" s="32"/>
      <c r="H14" s="33"/>
      <c r="I14" s="33"/>
      <c r="J14" s="32"/>
      <c r="K14" s="33"/>
      <c r="L14" s="32"/>
      <c r="M14" s="34"/>
      <c r="N14" s="34"/>
      <c r="O14" s="35" t="str">
        <f aca="false">IF(OR(M14="",N14="",M14=0),"",N14/M14)</f>
        <v/>
      </c>
      <c r="P14" s="36"/>
      <c r="Q14" s="37"/>
      <c r="R14" s="38" t="str">
        <f aca="false">IF(Q14&lt;&gt;"",Q14,IF(AND(P14&lt;&gt;"",M14&lt;&gt;""),P14*12*M14,""))</f>
        <v/>
      </c>
      <c r="S14" s="32"/>
      <c r="T14" s="32"/>
      <c r="U14" s="39"/>
      <c r="V14" s="39"/>
      <c r="W14" s="34"/>
      <c r="X14" s="32"/>
      <c r="Y14" s="34"/>
      <c r="Z14" s="40" t="str">
        <f aca="false">IF(OR(V14="",Y14=""),"",V14-Y14)</f>
        <v/>
      </c>
      <c r="AA14" s="41" t="str">
        <f aca="true">IF(V14="","",V14-TODAY())</f>
        <v/>
      </c>
      <c r="AB14" s="42" t="str">
        <f aca="false">IF(V14="","",IF(AA14&lt;0,"Past due",IF(AA14&lt;=90,"0–90 days",IF(AA14&lt;=180,"91–180 days",IF(AA14&lt;=365,"181–365 days","Over a year")))))</f>
        <v/>
      </c>
      <c r="AC14" s="43"/>
      <c r="AD14" s="32"/>
      <c r="AE14" s="32"/>
      <c r="AF14" s="33"/>
      <c r="AG14" s="32"/>
      <c r="AH14" s="33"/>
      <c r="AI14" s="32"/>
      <c r="AJ14" s="33"/>
      <c r="AK14" s="32"/>
      <c r="AL14" s="32"/>
      <c r="AM14" s="33"/>
      <c r="AN14" s="31" t="str">
        <f aca="false">IF(B14="","",IFERROR(INDEX(Lookup!$B$2:$B$3000,MATCH(TRIM(B14),Lookup!$A$2:$A$3000,0)),""))</f>
        <v/>
      </c>
      <c r="AO14" s="42" t="str">
        <f aca="false">IF(B14="","",IF(AN14="","No – will be reviewed","Yes"))</f>
        <v/>
      </c>
      <c r="AP14" s="31" t="str">
        <f aca="false">IF(AN14="","",IFERROR(INDEX(Catalog!$B$5:$B$400,MATCH(AN14,Catalog!$A$5:$A$400,0)),""))</f>
        <v/>
      </c>
      <c r="AQ14" s="31" t="str">
        <f aca="false">IF(AN14="","",IFERROR(INDEX(Catalog!$C$5:$C$400,MATCH(AN14,Catalog!$A$5:$A$400,0)),""))</f>
        <v/>
      </c>
      <c r="AR14" s="31" t="str">
        <f aca="false">IF(AN14="","",IFERROR(INDEX(Catalog!$D$5:$D$400,MATCH(AN14,Catalog!$A$5:$A$400,0)),""))</f>
        <v/>
      </c>
      <c r="AS14" s="31" t="str">
        <f aca="false">IF(AN14="","",IFERROR(INDEX(Catalog!$E$5:$E$400,MATCH(AN14,Catalog!$A$5:$A$400,0)),""))</f>
        <v/>
      </c>
      <c r="AT14" s="44" t="str">
        <f aca="false">IF(AN14="","",IFERROR(INDEX(Catalog!$F$5:$F$400,MATCH(AN14,Catalog!$A$5:$A$400,0)),""))</f>
        <v/>
      </c>
      <c r="AU14" s="31" t="str">
        <f aca="false">IF(AND(B14&lt;&gt;"",ISNUMBER(V14)),V14+ROW()/100000,"")</f>
        <v/>
      </c>
    </row>
    <row r="15" customFormat="false" ht="15" hidden="false" customHeight="false" outlineLevel="0" collapsed="false">
      <c r="A15" s="31" t="str">
        <f aca="false">IF(B15="","",ROW()-5)</f>
        <v/>
      </c>
      <c r="B15" s="32"/>
      <c r="C15" s="32"/>
      <c r="D15" s="32"/>
      <c r="E15" s="32"/>
      <c r="F15" s="32"/>
      <c r="G15" s="32"/>
      <c r="H15" s="33"/>
      <c r="I15" s="33"/>
      <c r="J15" s="32"/>
      <c r="K15" s="33"/>
      <c r="L15" s="32"/>
      <c r="M15" s="34"/>
      <c r="N15" s="34"/>
      <c r="O15" s="35" t="str">
        <f aca="false">IF(OR(M15="",N15="",M15=0),"",N15/M15)</f>
        <v/>
      </c>
      <c r="P15" s="36"/>
      <c r="Q15" s="37"/>
      <c r="R15" s="38" t="str">
        <f aca="false">IF(Q15&lt;&gt;"",Q15,IF(AND(P15&lt;&gt;"",M15&lt;&gt;""),P15*12*M15,""))</f>
        <v/>
      </c>
      <c r="S15" s="32"/>
      <c r="T15" s="32"/>
      <c r="U15" s="39"/>
      <c r="V15" s="39"/>
      <c r="W15" s="34"/>
      <c r="X15" s="32"/>
      <c r="Y15" s="34"/>
      <c r="Z15" s="40" t="str">
        <f aca="false">IF(OR(V15="",Y15=""),"",V15-Y15)</f>
        <v/>
      </c>
      <c r="AA15" s="41" t="str">
        <f aca="true">IF(V15="","",V15-TODAY())</f>
        <v/>
      </c>
      <c r="AB15" s="42" t="str">
        <f aca="false">IF(V15="","",IF(AA15&lt;0,"Past due",IF(AA15&lt;=90,"0–90 days",IF(AA15&lt;=180,"91–180 days",IF(AA15&lt;=365,"181–365 days","Over a year")))))</f>
        <v/>
      </c>
      <c r="AC15" s="43"/>
      <c r="AD15" s="32"/>
      <c r="AE15" s="32"/>
      <c r="AF15" s="33"/>
      <c r="AG15" s="32"/>
      <c r="AH15" s="33"/>
      <c r="AI15" s="32"/>
      <c r="AJ15" s="33"/>
      <c r="AK15" s="32"/>
      <c r="AL15" s="32"/>
      <c r="AM15" s="33"/>
      <c r="AN15" s="31" t="str">
        <f aca="false">IF(B15="","",IFERROR(INDEX(Lookup!$B$2:$B$3000,MATCH(TRIM(B15),Lookup!$A$2:$A$3000,0)),""))</f>
        <v/>
      </c>
      <c r="AO15" s="42" t="str">
        <f aca="false">IF(B15="","",IF(AN15="","No – will be reviewed","Yes"))</f>
        <v/>
      </c>
      <c r="AP15" s="31" t="str">
        <f aca="false">IF(AN15="","",IFERROR(INDEX(Catalog!$B$5:$B$400,MATCH(AN15,Catalog!$A$5:$A$400,0)),""))</f>
        <v/>
      </c>
      <c r="AQ15" s="31" t="str">
        <f aca="false">IF(AN15="","",IFERROR(INDEX(Catalog!$C$5:$C$400,MATCH(AN15,Catalog!$A$5:$A$400,0)),""))</f>
        <v/>
      </c>
      <c r="AR15" s="31" t="str">
        <f aca="false">IF(AN15="","",IFERROR(INDEX(Catalog!$D$5:$D$400,MATCH(AN15,Catalog!$A$5:$A$400,0)),""))</f>
        <v/>
      </c>
      <c r="AS15" s="31" t="str">
        <f aca="false">IF(AN15="","",IFERROR(INDEX(Catalog!$E$5:$E$400,MATCH(AN15,Catalog!$A$5:$A$400,0)),""))</f>
        <v/>
      </c>
      <c r="AT15" s="44" t="str">
        <f aca="false">IF(AN15="","",IFERROR(INDEX(Catalog!$F$5:$F$400,MATCH(AN15,Catalog!$A$5:$A$400,0)),""))</f>
        <v/>
      </c>
      <c r="AU15" s="31" t="str">
        <f aca="false">IF(AND(B15&lt;&gt;"",ISNUMBER(V15)),V15+ROW()/100000,"")</f>
        <v/>
      </c>
    </row>
    <row r="16" customFormat="false" ht="15" hidden="false" customHeight="false" outlineLevel="0" collapsed="false">
      <c r="A16" s="31" t="str">
        <f aca="false">IF(B16="","",ROW()-5)</f>
        <v/>
      </c>
      <c r="B16" s="32"/>
      <c r="C16" s="32"/>
      <c r="D16" s="32"/>
      <c r="E16" s="32"/>
      <c r="F16" s="32"/>
      <c r="G16" s="32"/>
      <c r="H16" s="33"/>
      <c r="I16" s="33"/>
      <c r="J16" s="32"/>
      <c r="K16" s="33"/>
      <c r="L16" s="32"/>
      <c r="M16" s="34"/>
      <c r="N16" s="34"/>
      <c r="O16" s="35" t="str">
        <f aca="false">IF(OR(M16="",N16="",M16=0),"",N16/M16)</f>
        <v/>
      </c>
      <c r="P16" s="36"/>
      <c r="Q16" s="37"/>
      <c r="R16" s="38" t="str">
        <f aca="false">IF(Q16&lt;&gt;"",Q16,IF(AND(P16&lt;&gt;"",M16&lt;&gt;""),P16*12*M16,""))</f>
        <v/>
      </c>
      <c r="S16" s="32"/>
      <c r="T16" s="32"/>
      <c r="U16" s="39"/>
      <c r="V16" s="39"/>
      <c r="W16" s="34"/>
      <c r="X16" s="32"/>
      <c r="Y16" s="34"/>
      <c r="Z16" s="40" t="str">
        <f aca="false">IF(OR(V16="",Y16=""),"",V16-Y16)</f>
        <v/>
      </c>
      <c r="AA16" s="41" t="str">
        <f aca="true">IF(V16="","",V16-TODAY())</f>
        <v/>
      </c>
      <c r="AB16" s="42" t="str">
        <f aca="false">IF(V16="","",IF(AA16&lt;0,"Past due",IF(AA16&lt;=90,"0–90 days",IF(AA16&lt;=180,"91–180 days",IF(AA16&lt;=365,"181–365 days","Over a year")))))</f>
        <v/>
      </c>
      <c r="AC16" s="43"/>
      <c r="AD16" s="32"/>
      <c r="AE16" s="32"/>
      <c r="AF16" s="33"/>
      <c r="AG16" s="32"/>
      <c r="AH16" s="33"/>
      <c r="AI16" s="32"/>
      <c r="AJ16" s="33"/>
      <c r="AK16" s="32"/>
      <c r="AL16" s="32"/>
      <c r="AM16" s="33"/>
      <c r="AN16" s="31" t="str">
        <f aca="false">IF(B16="","",IFERROR(INDEX(Lookup!$B$2:$B$3000,MATCH(TRIM(B16),Lookup!$A$2:$A$3000,0)),""))</f>
        <v/>
      </c>
      <c r="AO16" s="42" t="str">
        <f aca="false">IF(B16="","",IF(AN16="","No – will be reviewed","Yes"))</f>
        <v/>
      </c>
      <c r="AP16" s="31" t="str">
        <f aca="false">IF(AN16="","",IFERROR(INDEX(Catalog!$B$5:$B$400,MATCH(AN16,Catalog!$A$5:$A$400,0)),""))</f>
        <v/>
      </c>
      <c r="AQ16" s="31" t="str">
        <f aca="false">IF(AN16="","",IFERROR(INDEX(Catalog!$C$5:$C$400,MATCH(AN16,Catalog!$A$5:$A$400,0)),""))</f>
        <v/>
      </c>
      <c r="AR16" s="31" t="str">
        <f aca="false">IF(AN16="","",IFERROR(INDEX(Catalog!$D$5:$D$400,MATCH(AN16,Catalog!$A$5:$A$400,0)),""))</f>
        <v/>
      </c>
      <c r="AS16" s="31" t="str">
        <f aca="false">IF(AN16="","",IFERROR(INDEX(Catalog!$E$5:$E$400,MATCH(AN16,Catalog!$A$5:$A$400,0)),""))</f>
        <v/>
      </c>
      <c r="AT16" s="44" t="str">
        <f aca="false">IF(AN16="","",IFERROR(INDEX(Catalog!$F$5:$F$400,MATCH(AN16,Catalog!$A$5:$A$400,0)),""))</f>
        <v/>
      </c>
      <c r="AU16" s="31" t="str">
        <f aca="false">IF(AND(B16&lt;&gt;"",ISNUMBER(V16)),V16+ROW()/100000,"")</f>
        <v/>
      </c>
    </row>
    <row r="17" customFormat="false" ht="15" hidden="false" customHeight="false" outlineLevel="0" collapsed="false">
      <c r="A17" s="31" t="str">
        <f aca="false">IF(B17="","",ROW()-5)</f>
        <v/>
      </c>
      <c r="B17" s="32"/>
      <c r="C17" s="32"/>
      <c r="D17" s="32"/>
      <c r="E17" s="32"/>
      <c r="F17" s="32"/>
      <c r="G17" s="32"/>
      <c r="H17" s="33"/>
      <c r="I17" s="33"/>
      <c r="J17" s="32"/>
      <c r="K17" s="33"/>
      <c r="L17" s="32"/>
      <c r="M17" s="34"/>
      <c r="N17" s="34"/>
      <c r="O17" s="35" t="str">
        <f aca="false">IF(OR(M17="",N17="",M17=0),"",N17/M17)</f>
        <v/>
      </c>
      <c r="P17" s="36"/>
      <c r="Q17" s="37"/>
      <c r="R17" s="38" t="str">
        <f aca="false">IF(Q17&lt;&gt;"",Q17,IF(AND(P17&lt;&gt;"",M17&lt;&gt;""),P17*12*M17,""))</f>
        <v/>
      </c>
      <c r="S17" s="32"/>
      <c r="T17" s="32"/>
      <c r="U17" s="39"/>
      <c r="V17" s="39"/>
      <c r="W17" s="34"/>
      <c r="X17" s="32"/>
      <c r="Y17" s="34"/>
      <c r="Z17" s="40" t="str">
        <f aca="false">IF(OR(V17="",Y17=""),"",V17-Y17)</f>
        <v/>
      </c>
      <c r="AA17" s="41" t="str">
        <f aca="true">IF(V17="","",V17-TODAY())</f>
        <v/>
      </c>
      <c r="AB17" s="42" t="str">
        <f aca="false">IF(V17="","",IF(AA17&lt;0,"Past due",IF(AA17&lt;=90,"0–90 days",IF(AA17&lt;=180,"91–180 days",IF(AA17&lt;=365,"181–365 days","Over a year")))))</f>
        <v/>
      </c>
      <c r="AC17" s="43"/>
      <c r="AD17" s="32"/>
      <c r="AE17" s="32"/>
      <c r="AF17" s="33"/>
      <c r="AG17" s="32"/>
      <c r="AH17" s="33"/>
      <c r="AI17" s="32"/>
      <c r="AJ17" s="33"/>
      <c r="AK17" s="32"/>
      <c r="AL17" s="32"/>
      <c r="AM17" s="33"/>
      <c r="AN17" s="31" t="str">
        <f aca="false">IF(B17="","",IFERROR(INDEX(Lookup!$B$2:$B$3000,MATCH(TRIM(B17),Lookup!$A$2:$A$3000,0)),""))</f>
        <v/>
      </c>
      <c r="AO17" s="42" t="str">
        <f aca="false">IF(B17="","",IF(AN17="","No – will be reviewed","Yes"))</f>
        <v/>
      </c>
      <c r="AP17" s="31" t="str">
        <f aca="false">IF(AN17="","",IFERROR(INDEX(Catalog!$B$5:$B$400,MATCH(AN17,Catalog!$A$5:$A$400,0)),""))</f>
        <v/>
      </c>
      <c r="AQ17" s="31" t="str">
        <f aca="false">IF(AN17="","",IFERROR(INDEX(Catalog!$C$5:$C$400,MATCH(AN17,Catalog!$A$5:$A$400,0)),""))</f>
        <v/>
      </c>
      <c r="AR17" s="31" t="str">
        <f aca="false">IF(AN17="","",IFERROR(INDEX(Catalog!$D$5:$D$400,MATCH(AN17,Catalog!$A$5:$A$400,0)),""))</f>
        <v/>
      </c>
      <c r="AS17" s="31" t="str">
        <f aca="false">IF(AN17="","",IFERROR(INDEX(Catalog!$E$5:$E$400,MATCH(AN17,Catalog!$A$5:$A$400,0)),""))</f>
        <v/>
      </c>
      <c r="AT17" s="44" t="str">
        <f aca="false">IF(AN17="","",IFERROR(INDEX(Catalog!$F$5:$F$400,MATCH(AN17,Catalog!$A$5:$A$400,0)),""))</f>
        <v/>
      </c>
      <c r="AU17" s="31" t="str">
        <f aca="false">IF(AND(B17&lt;&gt;"",ISNUMBER(V17)),V17+ROW()/100000,"")</f>
        <v/>
      </c>
    </row>
    <row r="18" customFormat="false" ht="15" hidden="false" customHeight="false" outlineLevel="0" collapsed="false">
      <c r="A18" s="31" t="str">
        <f aca="false">IF(B18="","",ROW()-5)</f>
        <v/>
      </c>
      <c r="B18" s="32"/>
      <c r="C18" s="32"/>
      <c r="D18" s="32"/>
      <c r="E18" s="32"/>
      <c r="F18" s="32"/>
      <c r="G18" s="32"/>
      <c r="H18" s="33"/>
      <c r="I18" s="33"/>
      <c r="J18" s="32"/>
      <c r="K18" s="33"/>
      <c r="L18" s="32"/>
      <c r="M18" s="34"/>
      <c r="N18" s="34"/>
      <c r="O18" s="35" t="str">
        <f aca="false">IF(OR(M18="",N18="",M18=0),"",N18/M18)</f>
        <v/>
      </c>
      <c r="P18" s="36"/>
      <c r="Q18" s="37"/>
      <c r="R18" s="38" t="str">
        <f aca="false">IF(Q18&lt;&gt;"",Q18,IF(AND(P18&lt;&gt;"",M18&lt;&gt;""),P18*12*M18,""))</f>
        <v/>
      </c>
      <c r="S18" s="32"/>
      <c r="T18" s="32"/>
      <c r="U18" s="39"/>
      <c r="V18" s="39"/>
      <c r="W18" s="34"/>
      <c r="X18" s="32"/>
      <c r="Y18" s="34"/>
      <c r="Z18" s="40" t="str">
        <f aca="false">IF(OR(V18="",Y18=""),"",V18-Y18)</f>
        <v/>
      </c>
      <c r="AA18" s="41" t="str">
        <f aca="true">IF(V18="","",V18-TODAY())</f>
        <v/>
      </c>
      <c r="AB18" s="42" t="str">
        <f aca="false">IF(V18="","",IF(AA18&lt;0,"Past due",IF(AA18&lt;=90,"0–90 days",IF(AA18&lt;=180,"91–180 days",IF(AA18&lt;=365,"181–365 days","Over a year")))))</f>
        <v/>
      </c>
      <c r="AC18" s="43"/>
      <c r="AD18" s="32"/>
      <c r="AE18" s="32"/>
      <c r="AF18" s="33"/>
      <c r="AG18" s="32"/>
      <c r="AH18" s="33"/>
      <c r="AI18" s="32"/>
      <c r="AJ18" s="33"/>
      <c r="AK18" s="32"/>
      <c r="AL18" s="32"/>
      <c r="AM18" s="33"/>
      <c r="AN18" s="31" t="str">
        <f aca="false">IF(B18="","",IFERROR(INDEX(Lookup!$B$2:$B$3000,MATCH(TRIM(B18),Lookup!$A$2:$A$3000,0)),""))</f>
        <v/>
      </c>
      <c r="AO18" s="42" t="str">
        <f aca="false">IF(B18="","",IF(AN18="","No – will be reviewed","Yes"))</f>
        <v/>
      </c>
      <c r="AP18" s="31" t="str">
        <f aca="false">IF(AN18="","",IFERROR(INDEX(Catalog!$B$5:$B$400,MATCH(AN18,Catalog!$A$5:$A$400,0)),""))</f>
        <v/>
      </c>
      <c r="AQ18" s="31" t="str">
        <f aca="false">IF(AN18="","",IFERROR(INDEX(Catalog!$C$5:$C$400,MATCH(AN18,Catalog!$A$5:$A$400,0)),""))</f>
        <v/>
      </c>
      <c r="AR18" s="31" t="str">
        <f aca="false">IF(AN18="","",IFERROR(INDEX(Catalog!$D$5:$D$400,MATCH(AN18,Catalog!$A$5:$A$400,0)),""))</f>
        <v/>
      </c>
      <c r="AS18" s="31" t="str">
        <f aca="false">IF(AN18="","",IFERROR(INDEX(Catalog!$E$5:$E$400,MATCH(AN18,Catalog!$A$5:$A$400,0)),""))</f>
        <v/>
      </c>
      <c r="AT18" s="44" t="str">
        <f aca="false">IF(AN18="","",IFERROR(INDEX(Catalog!$F$5:$F$400,MATCH(AN18,Catalog!$A$5:$A$400,0)),""))</f>
        <v/>
      </c>
      <c r="AU18" s="31" t="str">
        <f aca="false">IF(AND(B18&lt;&gt;"",ISNUMBER(V18)),V18+ROW()/100000,"")</f>
        <v/>
      </c>
    </row>
    <row r="19" customFormat="false" ht="15" hidden="false" customHeight="false" outlineLevel="0" collapsed="false">
      <c r="A19" s="31" t="str">
        <f aca="false">IF(B19="","",ROW()-5)</f>
        <v/>
      </c>
      <c r="B19" s="32"/>
      <c r="C19" s="32"/>
      <c r="D19" s="32"/>
      <c r="E19" s="32"/>
      <c r="F19" s="32"/>
      <c r="G19" s="32"/>
      <c r="H19" s="33"/>
      <c r="I19" s="33"/>
      <c r="J19" s="32"/>
      <c r="K19" s="33"/>
      <c r="L19" s="32"/>
      <c r="M19" s="34"/>
      <c r="N19" s="34"/>
      <c r="O19" s="35" t="str">
        <f aca="false">IF(OR(M19="",N19="",M19=0),"",N19/M19)</f>
        <v/>
      </c>
      <c r="P19" s="36"/>
      <c r="Q19" s="37"/>
      <c r="R19" s="38" t="str">
        <f aca="false">IF(Q19&lt;&gt;"",Q19,IF(AND(P19&lt;&gt;"",M19&lt;&gt;""),P19*12*M19,""))</f>
        <v/>
      </c>
      <c r="S19" s="32"/>
      <c r="T19" s="32"/>
      <c r="U19" s="39"/>
      <c r="V19" s="39"/>
      <c r="W19" s="34"/>
      <c r="X19" s="32"/>
      <c r="Y19" s="34"/>
      <c r="Z19" s="40" t="str">
        <f aca="false">IF(OR(V19="",Y19=""),"",V19-Y19)</f>
        <v/>
      </c>
      <c r="AA19" s="41" t="str">
        <f aca="true">IF(V19="","",V19-TODAY())</f>
        <v/>
      </c>
      <c r="AB19" s="42" t="str">
        <f aca="false">IF(V19="","",IF(AA19&lt;0,"Past due",IF(AA19&lt;=90,"0–90 days",IF(AA19&lt;=180,"91–180 days",IF(AA19&lt;=365,"181–365 days","Over a year")))))</f>
        <v/>
      </c>
      <c r="AC19" s="43"/>
      <c r="AD19" s="32"/>
      <c r="AE19" s="32"/>
      <c r="AF19" s="33"/>
      <c r="AG19" s="32"/>
      <c r="AH19" s="33"/>
      <c r="AI19" s="32"/>
      <c r="AJ19" s="33"/>
      <c r="AK19" s="32"/>
      <c r="AL19" s="32"/>
      <c r="AM19" s="33"/>
      <c r="AN19" s="31" t="str">
        <f aca="false">IF(B19="","",IFERROR(INDEX(Lookup!$B$2:$B$3000,MATCH(TRIM(B19),Lookup!$A$2:$A$3000,0)),""))</f>
        <v/>
      </c>
      <c r="AO19" s="42" t="str">
        <f aca="false">IF(B19="","",IF(AN19="","No – will be reviewed","Yes"))</f>
        <v/>
      </c>
      <c r="AP19" s="31" t="str">
        <f aca="false">IF(AN19="","",IFERROR(INDEX(Catalog!$B$5:$B$400,MATCH(AN19,Catalog!$A$5:$A$400,0)),""))</f>
        <v/>
      </c>
      <c r="AQ19" s="31" t="str">
        <f aca="false">IF(AN19="","",IFERROR(INDEX(Catalog!$C$5:$C$400,MATCH(AN19,Catalog!$A$5:$A$400,0)),""))</f>
        <v/>
      </c>
      <c r="AR19" s="31" t="str">
        <f aca="false">IF(AN19="","",IFERROR(INDEX(Catalog!$D$5:$D$400,MATCH(AN19,Catalog!$A$5:$A$400,0)),""))</f>
        <v/>
      </c>
      <c r="AS19" s="31" t="str">
        <f aca="false">IF(AN19="","",IFERROR(INDEX(Catalog!$E$5:$E$400,MATCH(AN19,Catalog!$A$5:$A$400,0)),""))</f>
        <v/>
      </c>
      <c r="AT19" s="44" t="str">
        <f aca="false">IF(AN19="","",IFERROR(INDEX(Catalog!$F$5:$F$400,MATCH(AN19,Catalog!$A$5:$A$400,0)),""))</f>
        <v/>
      </c>
      <c r="AU19" s="31" t="str">
        <f aca="false">IF(AND(B19&lt;&gt;"",ISNUMBER(V19)),V19+ROW()/100000,"")</f>
        <v/>
      </c>
    </row>
    <row r="20" customFormat="false" ht="15" hidden="false" customHeight="false" outlineLevel="0" collapsed="false">
      <c r="A20" s="31" t="str">
        <f aca="false">IF(B20="","",ROW()-5)</f>
        <v/>
      </c>
      <c r="B20" s="32"/>
      <c r="C20" s="32"/>
      <c r="D20" s="32"/>
      <c r="E20" s="32"/>
      <c r="F20" s="32"/>
      <c r="G20" s="32"/>
      <c r="H20" s="33"/>
      <c r="I20" s="33"/>
      <c r="J20" s="32"/>
      <c r="K20" s="33"/>
      <c r="L20" s="32"/>
      <c r="M20" s="34"/>
      <c r="N20" s="34"/>
      <c r="O20" s="35" t="str">
        <f aca="false">IF(OR(M20="",N20="",M20=0),"",N20/M20)</f>
        <v/>
      </c>
      <c r="P20" s="36"/>
      <c r="Q20" s="37"/>
      <c r="R20" s="38" t="str">
        <f aca="false">IF(Q20&lt;&gt;"",Q20,IF(AND(P20&lt;&gt;"",M20&lt;&gt;""),P20*12*M20,""))</f>
        <v/>
      </c>
      <c r="S20" s="32"/>
      <c r="T20" s="32"/>
      <c r="U20" s="39"/>
      <c r="V20" s="39"/>
      <c r="W20" s="34"/>
      <c r="X20" s="32"/>
      <c r="Y20" s="34"/>
      <c r="Z20" s="40" t="str">
        <f aca="false">IF(OR(V20="",Y20=""),"",V20-Y20)</f>
        <v/>
      </c>
      <c r="AA20" s="41" t="str">
        <f aca="true">IF(V20="","",V20-TODAY())</f>
        <v/>
      </c>
      <c r="AB20" s="42" t="str">
        <f aca="false">IF(V20="","",IF(AA20&lt;0,"Past due",IF(AA20&lt;=90,"0–90 days",IF(AA20&lt;=180,"91–180 days",IF(AA20&lt;=365,"181–365 days","Over a year")))))</f>
        <v/>
      </c>
      <c r="AC20" s="43"/>
      <c r="AD20" s="32"/>
      <c r="AE20" s="32"/>
      <c r="AF20" s="33"/>
      <c r="AG20" s="32"/>
      <c r="AH20" s="33"/>
      <c r="AI20" s="32"/>
      <c r="AJ20" s="33"/>
      <c r="AK20" s="32"/>
      <c r="AL20" s="32"/>
      <c r="AM20" s="33"/>
      <c r="AN20" s="31" t="str">
        <f aca="false">IF(B20="","",IFERROR(INDEX(Lookup!$B$2:$B$3000,MATCH(TRIM(B20),Lookup!$A$2:$A$3000,0)),""))</f>
        <v/>
      </c>
      <c r="AO20" s="42" t="str">
        <f aca="false">IF(B20="","",IF(AN20="","No – will be reviewed","Yes"))</f>
        <v/>
      </c>
      <c r="AP20" s="31" t="str">
        <f aca="false">IF(AN20="","",IFERROR(INDEX(Catalog!$B$5:$B$400,MATCH(AN20,Catalog!$A$5:$A$400,0)),""))</f>
        <v/>
      </c>
      <c r="AQ20" s="31" t="str">
        <f aca="false">IF(AN20="","",IFERROR(INDEX(Catalog!$C$5:$C$400,MATCH(AN20,Catalog!$A$5:$A$400,0)),""))</f>
        <v/>
      </c>
      <c r="AR20" s="31" t="str">
        <f aca="false">IF(AN20="","",IFERROR(INDEX(Catalog!$D$5:$D$400,MATCH(AN20,Catalog!$A$5:$A$400,0)),""))</f>
        <v/>
      </c>
      <c r="AS20" s="31" t="str">
        <f aca="false">IF(AN20="","",IFERROR(INDEX(Catalog!$E$5:$E$400,MATCH(AN20,Catalog!$A$5:$A$400,0)),""))</f>
        <v/>
      </c>
      <c r="AT20" s="44" t="str">
        <f aca="false">IF(AN20="","",IFERROR(INDEX(Catalog!$F$5:$F$400,MATCH(AN20,Catalog!$A$5:$A$400,0)),""))</f>
        <v/>
      </c>
      <c r="AU20" s="31" t="str">
        <f aca="false">IF(AND(B20&lt;&gt;"",ISNUMBER(V20)),V20+ROW()/100000,"")</f>
        <v/>
      </c>
    </row>
    <row r="21" customFormat="false" ht="15" hidden="false" customHeight="false" outlineLevel="0" collapsed="false">
      <c r="A21" s="31" t="str">
        <f aca="false">IF(B21="","",ROW()-5)</f>
        <v/>
      </c>
      <c r="B21" s="32"/>
      <c r="C21" s="32"/>
      <c r="D21" s="32"/>
      <c r="E21" s="32"/>
      <c r="F21" s="32"/>
      <c r="G21" s="32"/>
      <c r="H21" s="33"/>
      <c r="I21" s="33"/>
      <c r="J21" s="32"/>
      <c r="K21" s="33"/>
      <c r="L21" s="32"/>
      <c r="M21" s="34"/>
      <c r="N21" s="34"/>
      <c r="O21" s="35" t="str">
        <f aca="false">IF(OR(M21="",N21="",M21=0),"",N21/M21)</f>
        <v/>
      </c>
      <c r="P21" s="36"/>
      <c r="Q21" s="37"/>
      <c r="R21" s="38" t="str">
        <f aca="false">IF(Q21&lt;&gt;"",Q21,IF(AND(P21&lt;&gt;"",M21&lt;&gt;""),P21*12*M21,""))</f>
        <v/>
      </c>
      <c r="S21" s="32"/>
      <c r="T21" s="32"/>
      <c r="U21" s="39"/>
      <c r="V21" s="39"/>
      <c r="W21" s="34"/>
      <c r="X21" s="32"/>
      <c r="Y21" s="34"/>
      <c r="Z21" s="40" t="str">
        <f aca="false">IF(OR(V21="",Y21=""),"",V21-Y21)</f>
        <v/>
      </c>
      <c r="AA21" s="41" t="str">
        <f aca="true">IF(V21="","",V21-TODAY())</f>
        <v/>
      </c>
      <c r="AB21" s="42" t="str">
        <f aca="false">IF(V21="","",IF(AA21&lt;0,"Past due",IF(AA21&lt;=90,"0–90 days",IF(AA21&lt;=180,"91–180 days",IF(AA21&lt;=365,"181–365 days","Over a year")))))</f>
        <v/>
      </c>
      <c r="AC21" s="43"/>
      <c r="AD21" s="32"/>
      <c r="AE21" s="32"/>
      <c r="AF21" s="33"/>
      <c r="AG21" s="32"/>
      <c r="AH21" s="33"/>
      <c r="AI21" s="32"/>
      <c r="AJ21" s="33"/>
      <c r="AK21" s="32"/>
      <c r="AL21" s="32"/>
      <c r="AM21" s="33"/>
      <c r="AN21" s="31" t="str">
        <f aca="false">IF(B21="","",IFERROR(INDEX(Lookup!$B$2:$B$3000,MATCH(TRIM(B21),Lookup!$A$2:$A$3000,0)),""))</f>
        <v/>
      </c>
      <c r="AO21" s="42" t="str">
        <f aca="false">IF(B21="","",IF(AN21="","No – will be reviewed","Yes"))</f>
        <v/>
      </c>
      <c r="AP21" s="31" t="str">
        <f aca="false">IF(AN21="","",IFERROR(INDEX(Catalog!$B$5:$B$400,MATCH(AN21,Catalog!$A$5:$A$400,0)),""))</f>
        <v/>
      </c>
      <c r="AQ21" s="31" t="str">
        <f aca="false">IF(AN21="","",IFERROR(INDEX(Catalog!$C$5:$C$400,MATCH(AN21,Catalog!$A$5:$A$400,0)),""))</f>
        <v/>
      </c>
      <c r="AR21" s="31" t="str">
        <f aca="false">IF(AN21="","",IFERROR(INDEX(Catalog!$D$5:$D$400,MATCH(AN21,Catalog!$A$5:$A$400,0)),""))</f>
        <v/>
      </c>
      <c r="AS21" s="31" t="str">
        <f aca="false">IF(AN21="","",IFERROR(INDEX(Catalog!$E$5:$E$400,MATCH(AN21,Catalog!$A$5:$A$400,0)),""))</f>
        <v/>
      </c>
      <c r="AT21" s="44" t="str">
        <f aca="false">IF(AN21="","",IFERROR(INDEX(Catalog!$F$5:$F$400,MATCH(AN21,Catalog!$A$5:$A$400,0)),""))</f>
        <v/>
      </c>
      <c r="AU21" s="31" t="str">
        <f aca="false">IF(AND(B21&lt;&gt;"",ISNUMBER(V21)),V21+ROW()/100000,"")</f>
        <v/>
      </c>
    </row>
    <row r="22" customFormat="false" ht="15" hidden="false" customHeight="false" outlineLevel="0" collapsed="false">
      <c r="A22" s="31" t="str">
        <f aca="false">IF(B22="","",ROW()-5)</f>
        <v/>
      </c>
      <c r="B22" s="32"/>
      <c r="C22" s="32"/>
      <c r="D22" s="32"/>
      <c r="E22" s="32"/>
      <c r="F22" s="32"/>
      <c r="G22" s="32"/>
      <c r="H22" s="33"/>
      <c r="I22" s="33"/>
      <c r="J22" s="32"/>
      <c r="K22" s="33"/>
      <c r="L22" s="32"/>
      <c r="M22" s="34"/>
      <c r="N22" s="34"/>
      <c r="O22" s="35" t="str">
        <f aca="false">IF(OR(M22="",N22="",M22=0),"",N22/M22)</f>
        <v/>
      </c>
      <c r="P22" s="36"/>
      <c r="Q22" s="37"/>
      <c r="R22" s="38" t="str">
        <f aca="false">IF(Q22&lt;&gt;"",Q22,IF(AND(P22&lt;&gt;"",M22&lt;&gt;""),P22*12*M22,""))</f>
        <v/>
      </c>
      <c r="S22" s="32"/>
      <c r="T22" s="32"/>
      <c r="U22" s="39"/>
      <c r="V22" s="39"/>
      <c r="W22" s="34"/>
      <c r="X22" s="32"/>
      <c r="Y22" s="34"/>
      <c r="Z22" s="40" t="str">
        <f aca="false">IF(OR(V22="",Y22=""),"",V22-Y22)</f>
        <v/>
      </c>
      <c r="AA22" s="41" t="str">
        <f aca="true">IF(V22="","",V22-TODAY())</f>
        <v/>
      </c>
      <c r="AB22" s="42" t="str">
        <f aca="false">IF(V22="","",IF(AA22&lt;0,"Past due",IF(AA22&lt;=90,"0–90 days",IF(AA22&lt;=180,"91–180 days",IF(AA22&lt;=365,"181–365 days","Over a year")))))</f>
        <v/>
      </c>
      <c r="AC22" s="43"/>
      <c r="AD22" s="32"/>
      <c r="AE22" s="32"/>
      <c r="AF22" s="33"/>
      <c r="AG22" s="32"/>
      <c r="AH22" s="33"/>
      <c r="AI22" s="32"/>
      <c r="AJ22" s="33"/>
      <c r="AK22" s="32"/>
      <c r="AL22" s="32"/>
      <c r="AM22" s="33"/>
      <c r="AN22" s="31" t="str">
        <f aca="false">IF(B22="","",IFERROR(INDEX(Lookup!$B$2:$B$3000,MATCH(TRIM(B22),Lookup!$A$2:$A$3000,0)),""))</f>
        <v/>
      </c>
      <c r="AO22" s="42" t="str">
        <f aca="false">IF(B22="","",IF(AN22="","No – will be reviewed","Yes"))</f>
        <v/>
      </c>
      <c r="AP22" s="31" t="str">
        <f aca="false">IF(AN22="","",IFERROR(INDEX(Catalog!$B$5:$B$400,MATCH(AN22,Catalog!$A$5:$A$400,0)),""))</f>
        <v/>
      </c>
      <c r="AQ22" s="31" t="str">
        <f aca="false">IF(AN22="","",IFERROR(INDEX(Catalog!$C$5:$C$400,MATCH(AN22,Catalog!$A$5:$A$400,0)),""))</f>
        <v/>
      </c>
      <c r="AR22" s="31" t="str">
        <f aca="false">IF(AN22="","",IFERROR(INDEX(Catalog!$D$5:$D$400,MATCH(AN22,Catalog!$A$5:$A$400,0)),""))</f>
        <v/>
      </c>
      <c r="AS22" s="31" t="str">
        <f aca="false">IF(AN22="","",IFERROR(INDEX(Catalog!$E$5:$E$400,MATCH(AN22,Catalog!$A$5:$A$400,0)),""))</f>
        <v/>
      </c>
      <c r="AT22" s="44" t="str">
        <f aca="false">IF(AN22="","",IFERROR(INDEX(Catalog!$F$5:$F$400,MATCH(AN22,Catalog!$A$5:$A$400,0)),""))</f>
        <v/>
      </c>
      <c r="AU22" s="31" t="str">
        <f aca="false">IF(AND(B22&lt;&gt;"",ISNUMBER(V22)),V22+ROW()/100000,"")</f>
        <v/>
      </c>
    </row>
    <row r="23" customFormat="false" ht="15" hidden="false" customHeight="false" outlineLevel="0" collapsed="false">
      <c r="A23" s="31" t="str">
        <f aca="false">IF(B23="","",ROW()-5)</f>
        <v/>
      </c>
      <c r="B23" s="32"/>
      <c r="C23" s="32"/>
      <c r="D23" s="32"/>
      <c r="E23" s="32"/>
      <c r="F23" s="32"/>
      <c r="G23" s="32"/>
      <c r="H23" s="33"/>
      <c r="I23" s="33"/>
      <c r="J23" s="32"/>
      <c r="K23" s="33"/>
      <c r="L23" s="32"/>
      <c r="M23" s="34"/>
      <c r="N23" s="34"/>
      <c r="O23" s="35" t="str">
        <f aca="false">IF(OR(M23="",N23="",M23=0),"",N23/M23)</f>
        <v/>
      </c>
      <c r="P23" s="36"/>
      <c r="Q23" s="37"/>
      <c r="R23" s="38" t="str">
        <f aca="false">IF(Q23&lt;&gt;"",Q23,IF(AND(P23&lt;&gt;"",M23&lt;&gt;""),P23*12*M23,""))</f>
        <v/>
      </c>
      <c r="S23" s="32"/>
      <c r="T23" s="32"/>
      <c r="U23" s="39"/>
      <c r="V23" s="39"/>
      <c r="W23" s="34"/>
      <c r="X23" s="32"/>
      <c r="Y23" s="34"/>
      <c r="Z23" s="40" t="str">
        <f aca="false">IF(OR(V23="",Y23=""),"",V23-Y23)</f>
        <v/>
      </c>
      <c r="AA23" s="41" t="str">
        <f aca="true">IF(V23="","",V23-TODAY())</f>
        <v/>
      </c>
      <c r="AB23" s="42" t="str">
        <f aca="false">IF(V23="","",IF(AA23&lt;0,"Past due",IF(AA23&lt;=90,"0–90 days",IF(AA23&lt;=180,"91–180 days",IF(AA23&lt;=365,"181–365 days","Over a year")))))</f>
        <v/>
      </c>
      <c r="AC23" s="43"/>
      <c r="AD23" s="32"/>
      <c r="AE23" s="32"/>
      <c r="AF23" s="33"/>
      <c r="AG23" s="32"/>
      <c r="AH23" s="33"/>
      <c r="AI23" s="32"/>
      <c r="AJ23" s="33"/>
      <c r="AK23" s="32"/>
      <c r="AL23" s="32"/>
      <c r="AM23" s="33"/>
      <c r="AN23" s="31" t="str">
        <f aca="false">IF(B23="","",IFERROR(INDEX(Lookup!$B$2:$B$3000,MATCH(TRIM(B23),Lookup!$A$2:$A$3000,0)),""))</f>
        <v/>
      </c>
      <c r="AO23" s="42" t="str">
        <f aca="false">IF(B23="","",IF(AN23="","No – will be reviewed","Yes"))</f>
        <v/>
      </c>
      <c r="AP23" s="31" t="str">
        <f aca="false">IF(AN23="","",IFERROR(INDEX(Catalog!$B$5:$B$400,MATCH(AN23,Catalog!$A$5:$A$400,0)),""))</f>
        <v/>
      </c>
      <c r="AQ23" s="31" t="str">
        <f aca="false">IF(AN23="","",IFERROR(INDEX(Catalog!$C$5:$C$400,MATCH(AN23,Catalog!$A$5:$A$400,0)),""))</f>
        <v/>
      </c>
      <c r="AR23" s="31" t="str">
        <f aca="false">IF(AN23="","",IFERROR(INDEX(Catalog!$D$5:$D$400,MATCH(AN23,Catalog!$A$5:$A$400,0)),""))</f>
        <v/>
      </c>
      <c r="AS23" s="31" t="str">
        <f aca="false">IF(AN23="","",IFERROR(INDEX(Catalog!$E$5:$E$400,MATCH(AN23,Catalog!$A$5:$A$400,0)),""))</f>
        <v/>
      </c>
      <c r="AT23" s="44" t="str">
        <f aca="false">IF(AN23="","",IFERROR(INDEX(Catalog!$F$5:$F$400,MATCH(AN23,Catalog!$A$5:$A$400,0)),""))</f>
        <v/>
      </c>
      <c r="AU23" s="31" t="str">
        <f aca="false">IF(AND(B23&lt;&gt;"",ISNUMBER(V23)),V23+ROW()/100000,"")</f>
        <v/>
      </c>
    </row>
    <row r="24" customFormat="false" ht="15" hidden="false" customHeight="false" outlineLevel="0" collapsed="false">
      <c r="A24" s="31" t="str">
        <f aca="false">IF(B24="","",ROW()-5)</f>
        <v/>
      </c>
      <c r="B24" s="32"/>
      <c r="C24" s="32"/>
      <c r="D24" s="32"/>
      <c r="E24" s="32"/>
      <c r="F24" s="32"/>
      <c r="G24" s="32"/>
      <c r="H24" s="33"/>
      <c r="I24" s="33"/>
      <c r="J24" s="32"/>
      <c r="K24" s="33"/>
      <c r="L24" s="32"/>
      <c r="M24" s="34"/>
      <c r="N24" s="34"/>
      <c r="O24" s="35" t="str">
        <f aca="false">IF(OR(M24="",N24="",M24=0),"",N24/M24)</f>
        <v/>
      </c>
      <c r="P24" s="36"/>
      <c r="Q24" s="37"/>
      <c r="R24" s="38" t="str">
        <f aca="false">IF(Q24&lt;&gt;"",Q24,IF(AND(P24&lt;&gt;"",M24&lt;&gt;""),P24*12*M24,""))</f>
        <v/>
      </c>
      <c r="S24" s="32"/>
      <c r="T24" s="32"/>
      <c r="U24" s="39"/>
      <c r="V24" s="39"/>
      <c r="W24" s="34"/>
      <c r="X24" s="32"/>
      <c r="Y24" s="34"/>
      <c r="Z24" s="40" t="str">
        <f aca="false">IF(OR(V24="",Y24=""),"",V24-Y24)</f>
        <v/>
      </c>
      <c r="AA24" s="41" t="str">
        <f aca="true">IF(V24="","",V24-TODAY())</f>
        <v/>
      </c>
      <c r="AB24" s="42" t="str">
        <f aca="false">IF(V24="","",IF(AA24&lt;0,"Past due",IF(AA24&lt;=90,"0–90 days",IF(AA24&lt;=180,"91–180 days",IF(AA24&lt;=365,"181–365 days","Over a year")))))</f>
        <v/>
      </c>
      <c r="AC24" s="43"/>
      <c r="AD24" s="32"/>
      <c r="AE24" s="32"/>
      <c r="AF24" s="33"/>
      <c r="AG24" s="32"/>
      <c r="AH24" s="33"/>
      <c r="AI24" s="32"/>
      <c r="AJ24" s="33"/>
      <c r="AK24" s="32"/>
      <c r="AL24" s="32"/>
      <c r="AM24" s="33"/>
      <c r="AN24" s="31" t="str">
        <f aca="false">IF(B24="","",IFERROR(INDEX(Lookup!$B$2:$B$3000,MATCH(TRIM(B24),Lookup!$A$2:$A$3000,0)),""))</f>
        <v/>
      </c>
      <c r="AO24" s="42" t="str">
        <f aca="false">IF(B24="","",IF(AN24="","No – will be reviewed","Yes"))</f>
        <v/>
      </c>
      <c r="AP24" s="31" t="str">
        <f aca="false">IF(AN24="","",IFERROR(INDEX(Catalog!$B$5:$B$400,MATCH(AN24,Catalog!$A$5:$A$400,0)),""))</f>
        <v/>
      </c>
      <c r="AQ24" s="31" t="str">
        <f aca="false">IF(AN24="","",IFERROR(INDEX(Catalog!$C$5:$C$400,MATCH(AN24,Catalog!$A$5:$A$400,0)),""))</f>
        <v/>
      </c>
      <c r="AR24" s="31" t="str">
        <f aca="false">IF(AN24="","",IFERROR(INDEX(Catalog!$D$5:$D$400,MATCH(AN24,Catalog!$A$5:$A$400,0)),""))</f>
        <v/>
      </c>
      <c r="AS24" s="31" t="str">
        <f aca="false">IF(AN24="","",IFERROR(INDEX(Catalog!$E$5:$E$400,MATCH(AN24,Catalog!$A$5:$A$400,0)),""))</f>
        <v/>
      </c>
      <c r="AT24" s="44" t="str">
        <f aca="false">IF(AN24="","",IFERROR(INDEX(Catalog!$F$5:$F$400,MATCH(AN24,Catalog!$A$5:$A$400,0)),""))</f>
        <v/>
      </c>
      <c r="AU24" s="31" t="str">
        <f aca="false">IF(AND(B24&lt;&gt;"",ISNUMBER(V24)),V24+ROW()/100000,"")</f>
        <v/>
      </c>
    </row>
    <row r="25" customFormat="false" ht="15" hidden="false" customHeight="false" outlineLevel="0" collapsed="false">
      <c r="A25" s="31" t="str">
        <f aca="false">IF(B25="","",ROW()-5)</f>
        <v/>
      </c>
      <c r="B25" s="32"/>
      <c r="C25" s="32"/>
      <c r="D25" s="32"/>
      <c r="E25" s="32"/>
      <c r="F25" s="32"/>
      <c r="G25" s="32"/>
      <c r="H25" s="33"/>
      <c r="I25" s="33"/>
      <c r="J25" s="32"/>
      <c r="K25" s="33"/>
      <c r="L25" s="32"/>
      <c r="M25" s="34"/>
      <c r="N25" s="34"/>
      <c r="O25" s="35" t="str">
        <f aca="false">IF(OR(M25="",N25="",M25=0),"",N25/M25)</f>
        <v/>
      </c>
      <c r="P25" s="36"/>
      <c r="Q25" s="37"/>
      <c r="R25" s="38" t="str">
        <f aca="false">IF(Q25&lt;&gt;"",Q25,IF(AND(P25&lt;&gt;"",M25&lt;&gt;""),P25*12*M25,""))</f>
        <v/>
      </c>
      <c r="S25" s="32"/>
      <c r="T25" s="32"/>
      <c r="U25" s="39"/>
      <c r="V25" s="39"/>
      <c r="W25" s="34"/>
      <c r="X25" s="32"/>
      <c r="Y25" s="34"/>
      <c r="Z25" s="40" t="str">
        <f aca="false">IF(OR(V25="",Y25=""),"",V25-Y25)</f>
        <v/>
      </c>
      <c r="AA25" s="41" t="str">
        <f aca="true">IF(V25="","",V25-TODAY())</f>
        <v/>
      </c>
      <c r="AB25" s="42" t="str">
        <f aca="false">IF(V25="","",IF(AA25&lt;0,"Past due",IF(AA25&lt;=90,"0–90 days",IF(AA25&lt;=180,"91–180 days",IF(AA25&lt;=365,"181–365 days","Over a year")))))</f>
        <v/>
      </c>
      <c r="AC25" s="43"/>
      <c r="AD25" s="32"/>
      <c r="AE25" s="32"/>
      <c r="AF25" s="33"/>
      <c r="AG25" s="32"/>
      <c r="AH25" s="33"/>
      <c r="AI25" s="32"/>
      <c r="AJ25" s="33"/>
      <c r="AK25" s="32"/>
      <c r="AL25" s="32"/>
      <c r="AM25" s="33"/>
      <c r="AN25" s="31" t="str">
        <f aca="false">IF(B25="","",IFERROR(INDEX(Lookup!$B$2:$B$3000,MATCH(TRIM(B25),Lookup!$A$2:$A$3000,0)),""))</f>
        <v/>
      </c>
      <c r="AO25" s="42" t="str">
        <f aca="false">IF(B25="","",IF(AN25="","No – will be reviewed","Yes"))</f>
        <v/>
      </c>
      <c r="AP25" s="31" t="str">
        <f aca="false">IF(AN25="","",IFERROR(INDEX(Catalog!$B$5:$B$400,MATCH(AN25,Catalog!$A$5:$A$400,0)),""))</f>
        <v/>
      </c>
      <c r="AQ25" s="31" t="str">
        <f aca="false">IF(AN25="","",IFERROR(INDEX(Catalog!$C$5:$C$400,MATCH(AN25,Catalog!$A$5:$A$400,0)),""))</f>
        <v/>
      </c>
      <c r="AR25" s="31" t="str">
        <f aca="false">IF(AN25="","",IFERROR(INDEX(Catalog!$D$5:$D$400,MATCH(AN25,Catalog!$A$5:$A$400,0)),""))</f>
        <v/>
      </c>
      <c r="AS25" s="31" t="str">
        <f aca="false">IF(AN25="","",IFERROR(INDEX(Catalog!$E$5:$E$400,MATCH(AN25,Catalog!$A$5:$A$400,0)),""))</f>
        <v/>
      </c>
      <c r="AT25" s="44" t="str">
        <f aca="false">IF(AN25="","",IFERROR(INDEX(Catalog!$F$5:$F$400,MATCH(AN25,Catalog!$A$5:$A$400,0)),""))</f>
        <v/>
      </c>
      <c r="AU25" s="31" t="str">
        <f aca="false">IF(AND(B25&lt;&gt;"",ISNUMBER(V25)),V25+ROW()/100000,"")</f>
        <v/>
      </c>
    </row>
    <row r="26" customFormat="false" ht="15" hidden="false" customHeight="false" outlineLevel="0" collapsed="false">
      <c r="A26" s="31" t="str">
        <f aca="false">IF(B26="","",ROW()-5)</f>
        <v/>
      </c>
      <c r="B26" s="32"/>
      <c r="C26" s="32"/>
      <c r="D26" s="32"/>
      <c r="E26" s="32"/>
      <c r="F26" s="32"/>
      <c r="G26" s="32"/>
      <c r="H26" s="33"/>
      <c r="I26" s="33"/>
      <c r="J26" s="32"/>
      <c r="K26" s="33"/>
      <c r="L26" s="32"/>
      <c r="M26" s="34"/>
      <c r="N26" s="34"/>
      <c r="O26" s="35" t="str">
        <f aca="false">IF(OR(M26="",N26="",M26=0),"",N26/M26)</f>
        <v/>
      </c>
      <c r="P26" s="36"/>
      <c r="Q26" s="37"/>
      <c r="R26" s="38" t="str">
        <f aca="false">IF(Q26&lt;&gt;"",Q26,IF(AND(P26&lt;&gt;"",M26&lt;&gt;""),P26*12*M26,""))</f>
        <v/>
      </c>
      <c r="S26" s="32"/>
      <c r="T26" s="32"/>
      <c r="U26" s="39"/>
      <c r="V26" s="39"/>
      <c r="W26" s="34"/>
      <c r="X26" s="32"/>
      <c r="Y26" s="34"/>
      <c r="Z26" s="40" t="str">
        <f aca="false">IF(OR(V26="",Y26=""),"",V26-Y26)</f>
        <v/>
      </c>
      <c r="AA26" s="41" t="str">
        <f aca="true">IF(V26="","",V26-TODAY())</f>
        <v/>
      </c>
      <c r="AB26" s="42" t="str">
        <f aca="false">IF(V26="","",IF(AA26&lt;0,"Past due",IF(AA26&lt;=90,"0–90 days",IF(AA26&lt;=180,"91–180 days",IF(AA26&lt;=365,"181–365 days","Over a year")))))</f>
        <v/>
      </c>
      <c r="AC26" s="43"/>
      <c r="AD26" s="32"/>
      <c r="AE26" s="32"/>
      <c r="AF26" s="33"/>
      <c r="AG26" s="32"/>
      <c r="AH26" s="33"/>
      <c r="AI26" s="32"/>
      <c r="AJ26" s="33"/>
      <c r="AK26" s="32"/>
      <c r="AL26" s="32"/>
      <c r="AM26" s="33"/>
      <c r="AN26" s="31" t="str">
        <f aca="false">IF(B26="","",IFERROR(INDEX(Lookup!$B$2:$B$3000,MATCH(TRIM(B26),Lookup!$A$2:$A$3000,0)),""))</f>
        <v/>
      </c>
      <c r="AO26" s="42" t="str">
        <f aca="false">IF(B26="","",IF(AN26="","No – will be reviewed","Yes"))</f>
        <v/>
      </c>
      <c r="AP26" s="31" t="str">
        <f aca="false">IF(AN26="","",IFERROR(INDEX(Catalog!$B$5:$B$400,MATCH(AN26,Catalog!$A$5:$A$400,0)),""))</f>
        <v/>
      </c>
      <c r="AQ26" s="31" t="str">
        <f aca="false">IF(AN26="","",IFERROR(INDEX(Catalog!$C$5:$C$400,MATCH(AN26,Catalog!$A$5:$A$400,0)),""))</f>
        <v/>
      </c>
      <c r="AR26" s="31" t="str">
        <f aca="false">IF(AN26="","",IFERROR(INDEX(Catalog!$D$5:$D$400,MATCH(AN26,Catalog!$A$5:$A$400,0)),""))</f>
        <v/>
      </c>
      <c r="AS26" s="31" t="str">
        <f aca="false">IF(AN26="","",IFERROR(INDEX(Catalog!$E$5:$E$400,MATCH(AN26,Catalog!$A$5:$A$400,0)),""))</f>
        <v/>
      </c>
      <c r="AT26" s="44" t="str">
        <f aca="false">IF(AN26="","",IFERROR(INDEX(Catalog!$F$5:$F$400,MATCH(AN26,Catalog!$A$5:$A$400,0)),""))</f>
        <v/>
      </c>
      <c r="AU26" s="31" t="str">
        <f aca="false">IF(AND(B26&lt;&gt;"",ISNUMBER(V26)),V26+ROW()/100000,"")</f>
        <v/>
      </c>
    </row>
    <row r="27" customFormat="false" ht="15" hidden="false" customHeight="false" outlineLevel="0" collapsed="false">
      <c r="A27" s="31" t="str">
        <f aca="false">IF(B27="","",ROW()-5)</f>
        <v/>
      </c>
      <c r="B27" s="32"/>
      <c r="C27" s="32"/>
      <c r="D27" s="32"/>
      <c r="E27" s="32"/>
      <c r="F27" s="32"/>
      <c r="G27" s="32"/>
      <c r="H27" s="33"/>
      <c r="I27" s="33"/>
      <c r="J27" s="32"/>
      <c r="K27" s="33"/>
      <c r="L27" s="32"/>
      <c r="M27" s="34"/>
      <c r="N27" s="34"/>
      <c r="O27" s="35" t="str">
        <f aca="false">IF(OR(M27="",N27="",M27=0),"",N27/M27)</f>
        <v/>
      </c>
      <c r="P27" s="36"/>
      <c r="Q27" s="37"/>
      <c r="R27" s="38" t="str">
        <f aca="false">IF(Q27&lt;&gt;"",Q27,IF(AND(P27&lt;&gt;"",M27&lt;&gt;""),P27*12*M27,""))</f>
        <v/>
      </c>
      <c r="S27" s="32"/>
      <c r="T27" s="32"/>
      <c r="U27" s="39"/>
      <c r="V27" s="39"/>
      <c r="W27" s="34"/>
      <c r="X27" s="32"/>
      <c r="Y27" s="34"/>
      <c r="Z27" s="40" t="str">
        <f aca="false">IF(OR(V27="",Y27=""),"",V27-Y27)</f>
        <v/>
      </c>
      <c r="AA27" s="41" t="str">
        <f aca="true">IF(V27="","",V27-TODAY())</f>
        <v/>
      </c>
      <c r="AB27" s="42" t="str">
        <f aca="false">IF(V27="","",IF(AA27&lt;0,"Past due",IF(AA27&lt;=90,"0–90 days",IF(AA27&lt;=180,"91–180 days",IF(AA27&lt;=365,"181–365 days","Over a year")))))</f>
        <v/>
      </c>
      <c r="AC27" s="43"/>
      <c r="AD27" s="32"/>
      <c r="AE27" s="32"/>
      <c r="AF27" s="33"/>
      <c r="AG27" s="32"/>
      <c r="AH27" s="33"/>
      <c r="AI27" s="32"/>
      <c r="AJ27" s="33"/>
      <c r="AK27" s="32"/>
      <c r="AL27" s="32"/>
      <c r="AM27" s="33"/>
      <c r="AN27" s="31" t="str">
        <f aca="false">IF(B27="","",IFERROR(INDEX(Lookup!$B$2:$B$3000,MATCH(TRIM(B27),Lookup!$A$2:$A$3000,0)),""))</f>
        <v/>
      </c>
      <c r="AO27" s="42" t="str">
        <f aca="false">IF(B27="","",IF(AN27="","No – will be reviewed","Yes"))</f>
        <v/>
      </c>
      <c r="AP27" s="31" t="str">
        <f aca="false">IF(AN27="","",IFERROR(INDEX(Catalog!$B$5:$B$400,MATCH(AN27,Catalog!$A$5:$A$400,0)),""))</f>
        <v/>
      </c>
      <c r="AQ27" s="31" t="str">
        <f aca="false">IF(AN27="","",IFERROR(INDEX(Catalog!$C$5:$C$400,MATCH(AN27,Catalog!$A$5:$A$400,0)),""))</f>
        <v/>
      </c>
      <c r="AR27" s="31" t="str">
        <f aca="false">IF(AN27="","",IFERROR(INDEX(Catalog!$D$5:$D$400,MATCH(AN27,Catalog!$A$5:$A$400,0)),""))</f>
        <v/>
      </c>
      <c r="AS27" s="31" t="str">
        <f aca="false">IF(AN27="","",IFERROR(INDEX(Catalog!$E$5:$E$400,MATCH(AN27,Catalog!$A$5:$A$400,0)),""))</f>
        <v/>
      </c>
      <c r="AT27" s="44" t="str">
        <f aca="false">IF(AN27="","",IFERROR(INDEX(Catalog!$F$5:$F$400,MATCH(AN27,Catalog!$A$5:$A$400,0)),""))</f>
        <v/>
      </c>
      <c r="AU27" s="31" t="str">
        <f aca="false">IF(AND(B27&lt;&gt;"",ISNUMBER(V27)),V27+ROW()/100000,"")</f>
        <v/>
      </c>
    </row>
    <row r="28" customFormat="false" ht="15" hidden="false" customHeight="false" outlineLevel="0" collapsed="false">
      <c r="A28" s="31" t="str">
        <f aca="false">IF(B28="","",ROW()-5)</f>
        <v/>
      </c>
      <c r="B28" s="32"/>
      <c r="C28" s="32"/>
      <c r="D28" s="32"/>
      <c r="E28" s="32"/>
      <c r="F28" s="32"/>
      <c r="G28" s="32"/>
      <c r="H28" s="33"/>
      <c r="I28" s="33"/>
      <c r="J28" s="32"/>
      <c r="K28" s="33"/>
      <c r="L28" s="32"/>
      <c r="M28" s="34"/>
      <c r="N28" s="34"/>
      <c r="O28" s="35" t="str">
        <f aca="false">IF(OR(M28="",N28="",M28=0),"",N28/M28)</f>
        <v/>
      </c>
      <c r="P28" s="36"/>
      <c r="Q28" s="37"/>
      <c r="R28" s="38" t="str">
        <f aca="false">IF(Q28&lt;&gt;"",Q28,IF(AND(P28&lt;&gt;"",M28&lt;&gt;""),P28*12*M28,""))</f>
        <v/>
      </c>
      <c r="S28" s="32"/>
      <c r="T28" s="32"/>
      <c r="U28" s="39"/>
      <c r="V28" s="39"/>
      <c r="W28" s="34"/>
      <c r="X28" s="32"/>
      <c r="Y28" s="34"/>
      <c r="Z28" s="40" t="str">
        <f aca="false">IF(OR(V28="",Y28=""),"",V28-Y28)</f>
        <v/>
      </c>
      <c r="AA28" s="41" t="str">
        <f aca="true">IF(V28="","",V28-TODAY())</f>
        <v/>
      </c>
      <c r="AB28" s="42" t="str">
        <f aca="false">IF(V28="","",IF(AA28&lt;0,"Past due",IF(AA28&lt;=90,"0–90 days",IF(AA28&lt;=180,"91–180 days",IF(AA28&lt;=365,"181–365 days","Over a year")))))</f>
        <v/>
      </c>
      <c r="AC28" s="43"/>
      <c r="AD28" s="32"/>
      <c r="AE28" s="32"/>
      <c r="AF28" s="33"/>
      <c r="AG28" s="32"/>
      <c r="AH28" s="33"/>
      <c r="AI28" s="32"/>
      <c r="AJ28" s="33"/>
      <c r="AK28" s="32"/>
      <c r="AL28" s="32"/>
      <c r="AM28" s="33"/>
      <c r="AN28" s="31" t="str">
        <f aca="false">IF(B28="","",IFERROR(INDEX(Lookup!$B$2:$B$3000,MATCH(TRIM(B28),Lookup!$A$2:$A$3000,0)),""))</f>
        <v/>
      </c>
      <c r="AO28" s="42" t="str">
        <f aca="false">IF(B28="","",IF(AN28="","No – will be reviewed","Yes"))</f>
        <v/>
      </c>
      <c r="AP28" s="31" t="str">
        <f aca="false">IF(AN28="","",IFERROR(INDEX(Catalog!$B$5:$B$400,MATCH(AN28,Catalog!$A$5:$A$400,0)),""))</f>
        <v/>
      </c>
      <c r="AQ28" s="31" t="str">
        <f aca="false">IF(AN28="","",IFERROR(INDEX(Catalog!$C$5:$C$400,MATCH(AN28,Catalog!$A$5:$A$400,0)),""))</f>
        <v/>
      </c>
      <c r="AR28" s="31" t="str">
        <f aca="false">IF(AN28="","",IFERROR(INDEX(Catalog!$D$5:$D$400,MATCH(AN28,Catalog!$A$5:$A$400,0)),""))</f>
        <v/>
      </c>
      <c r="AS28" s="31" t="str">
        <f aca="false">IF(AN28="","",IFERROR(INDEX(Catalog!$E$5:$E$400,MATCH(AN28,Catalog!$A$5:$A$400,0)),""))</f>
        <v/>
      </c>
      <c r="AT28" s="44" t="str">
        <f aca="false">IF(AN28="","",IFERROR(INDEX(Catalog!$F$5:$F$400,MATCH(AN28,Catalog!$A$5:$A$400,0)),""))</f>
        <v/>
      </c>
      <c r="AU28" s="31" t="str">
        <f aca="false">IF(AND(B28&lt;&gt;"",ISNUMBER(V28)),V28+ROW()/100000,"")</f>
        <v/>
      </c>
    </row>
    <row r="29" customFormat="false" ht="15" hidden="false" customHeight="false" outlineLevel="0" collapsed="false">
      <c r="A29" s="31" t="str">
        <f aca="false">IF(B29="","",ROW()-5)</f>
        <v/>
      </c>
      <c r="B29" s="32"/>
      <c r="C29" s="32"/>
      <c r="D29" s="32"/>
      <c r="E29" s="32"/>
      <c r="F29" s="32"/>
      <c r="G29" s="32"/>
      <c r="H29" s="33"/>
      <c r="I29" s="33"/>
      <c r="J29" s="32"/>
      <c r="K29" s="33"/>
      <c r="L29" s="32"/>
      <c r="M29" s="34"/>
      <c r="N29" s="34"/>
      <c r="O29" s="35" t="str">
        <f aca="false">IF(OR(M29="",N29="",M29=0),"",N29/M29)</f>
        <v/>
      </c>
      <c r="P29" s="36"/>
      <c r="Q29" s="37"/>
      <c r="R29" s="38" t="str">
        <f aca="false">IF(Q29&lt;&gt;"",Q29,IF(AND(P29&lt;&gt;"",M29&lt;&gt;""),P29*12*M29,""))</f>
        <v/>
      </c>
      <c r="S29" s="32"/>
      <c r="T29" s="32"/>
      <c r="U29" s="39"/>
      <c r="V29" s="39"/>
      <c r="W29" s="34"/>
      <c r="X29" s="32"/>
      <c r="Y29" s="34"/>
      <c r="Z29" s="40" t="str">
        <f aca="false">IF(OR(V29="",Y29=""),"",V29-Y29)</f>
        <v/>
      </c>
      <c r="AA29" s="41" t="str">
        <f aca="true">IF(V29="","",V29-TODAY())</f>
        <v/>
      </c>
      <c r="AB29" s="42" t="str">
        <f aca="false">IF(V29="","",IF(AA29&lt;0,"Past due",IF(AA29&lt;=90,"0–90 days",IF(AA29&lt;=180,"91–180 days",IF(AA29&lt;=365,"181–365 days","Over a year")))))</f>
        <v/>
      </c>
      <c r="AC29" s="43"/>
      <c r="AD29" s="32"/>
      <c r="AE29" s="32"/>
      <c r="AF29" s="33"/>
      <c r="AG29" s="32"/>
      <c r="AH29" s="33"/>
      <c r="AI29" s="32"/>
      <c r="AJ29" s="33"/>
      <c r="AK29" s="32"/>
      <c r="AL29" s="32"/>
      <c r="AM29" s="33"/>
      <c r="AN29" s="31" t="str">
        <f aca="false">IF(B29="","",IFERROR(INDEX(Lookup!$B$2:$B$3000,MATCH(TRIM(B29),Lookup!$A$2:$A$3000,0)),""))</f>
        <v/>
      </c>
      <c r="AO29" s="42" t="str">
        <f aca="false">IF(B29="","",IF(AN29="","No – will be reviewed","Yes"))</f>
        <v/>
      </c>
      <c r="AP29" s="31" t="str">
        <f aca="false">IF(AN29="","",IFERROR(INDEX(Catalog!$B$5:$B$400,MATCH(AN29,Catalog!$A$5:$A$400,0)),""))</f>
        <v/>
      </c>
      <c r="AQ29" s="31" t="str">
        <f aca="false">IF(AN29="","",IFERROR(INDEX(Catalog!$C$5:$C$400,MATCH(AN29,Catalog!$A$5:$A$400,0)),""))</f>
        <v/>
      </c>
      <c r="AR29" s="31" t="str">
        <f aca="false">IF(AN29="","",IFERROR(INDEX(Catalog!$D$5:$D$400,MATCH(AN29,Catalog!$A$5:$A$400,0)),""))</f>
        <v/>
      </c>
      <c r="AS29" s="31" t="str">
        <f aca="false">IF(AN29="","",IFERROR(INDEX(Catalog!$E$5:$E$400,MATCH(AN29,Catalog!$A$5:$A$400,0)),""))</f>
        <v/>
      </c>
      <c r="AT29" s="44" t="str">
        <f aca="false">IF(AN29="","",IFERROR(INDEX(Catalog!$F$5:$F$400,MATCH(AN29,Catalog!$A$5:$A$400,0)),""))</f>
        <v/>
      </c>
      <c r="AU29" s="31" t="str">
        <f aca="false">IF(AND(B29&lt;&gt;"",ISNUMBER(V29)),V29+ROW()/100000,"")</f>
        <v/>
      </c>
    </row>
    <row r="30" customFormat="false" ht="15" hidden="false" customHeight="false" outlineLevel="0" collapsed="false">
      <c r="A30" s="31" t="str">
        <f aca="false">IF(B30="","",ROW()-5)</f>
        <v/>
      </c>
      <c r="B30" s="32"/>
      <c r="C30" s="32"/>
      <c r="D30" s="32"/>
      <c r="E30" s="32"/>
      <c r="F30" s="32"/>
      <c r="G30" s="32"/>
      <c r="H30" s="33"/>
      <c r="I30" s="33"/>
      <c r="J30" s="32"/>
      <c r="K30" s="33"/>
      <c r="L30" s="32"/>
      <c r="M30" s="34"/>
      <c r="N30" s="34"/>
      <c r="O30" s="35" t="str">
        <f aca="false">IF(OR(M30="",N30="",M30=0),"",N30/M30)</f>
        <v/>
      </c>
      <c r="P30" s="36"/>
      <c r="Q30" s="37"/>
      <c r="R30" s="38" t="str">
        <f aca="false">IF(Q30&lt;&gt;"",Q30,IF(AND(P30&lt;&gt;"",M30&lt;&gt;""),P30*12*M30,""))</f>
        <v/>
      </c>
      <c r="S30" s="32"/>
      <c r="T30" s="32"/>
      <c r="U30" s="39"/>
      <c r="V30" s="39"/>
      <c r="W30" s="34"/>
      <c r="X30" s="32"/>
      <c r="Y30" s="34"/>
      <c r="Z30" s="40" t="str">
        <f aca="false">IF(OR(V30="",Y30=""),"",V30-Y30)</f>
        <v/>
      </c>
      <c r="AA30" s="41" t="str">
        <f aca="true">IF(V30="","",V30-TODAY())</f>
        <v/>
      </c>
      <c r="AB30" s="42" t="str">
        <f aca="false">IF(V30="","",IF(AA30&lt;0,"Past due",IF(AA30&lt;=90,"0–90 days",IF(AA30&lt;=180,"91–180 days",IF(AA30&lt;=365,"181–365 days","Over a year")))))</f>
        <v/>
      </c>
      <c r="AC30" s="43"/>
      <c r="AD30" s="32"/>
      <c r="AE30" s="32"/>
      <c r="AF30" s="33"/>
      <c r="AG30" s="32"/>
      <c r="AH30" s="33"/>
      <c r="AI30" s="32"/>
      <c r="AJ30" s="33"/>
      <c r="AK30" s="32"/>
      <c r="AL30" s="32"/>
      <c r="AM30" s="33"/>
      <c r="AN30" s="31" t="str">
        <f aca="false">IF(B30="","",IFERROR(INDEX(Lookup!$B$2:$B$3000,MATCH(TRIM(B30),Lookup!$A$2:$A$3000,0)),""))</f>
        <v/>
      </c>
      <c r="AO30" s="42" t="str">
        <f aca="false">IF(B30="","",IF(AN30="","No – will be reviewed","Yes"))</f>
        <v/>
      </c>
      <c r="AP30" s="31" t="str">
        <f aca="false">IF(AN30="","",IFERROR(INDEX(Catalog!$B$5:$B$400,MATCH(AN30,Catalog!$A$5:$A$400,0)),""))</f>
        <v/>
      </c>
      <c r="AQ30" s="31" t="str">
        <f aca="false">IF(AN30="","",IFERROR(INDEX(Catalog!$C$5:$C$400,MATCH(AN30,Catalog!$A$5:$A$400,0)),""))</f>
        <v/>
      </c>
      <c r="AR30" s="31" t="str">
        <f aca="false">IF(AN30="","",IFERROR(INDEX(Catalog!$D$5:$D$400,MATCH(AN30,Catalog!$A$5:$A$400,0)),""))</f>
        <v/>
      </c>
      <c r="AS30" s="31" t="str">
        <f aca="false">IF(AN30="","",IFERROR(INDEX(Catalog!$E$5:$E$400,MATCH(AN30,Catalog!$A$5:$A$400,0)),""))</f>
        <v/>
      </c>
      <c r="AT30" s="44" t="str">
        <f aca="false">IF(AN30="","",IFERROR(INDEX(Catalog!$F$5:$F$400,MATCH(AN30,Catalog!$A$5:$A$400,0)),""))</f>
        <v/>
      </c>
      <c r="AU30" s="31" t="str">
        <f aca="false">IF(AND(B30&lt;&gt;"",ISNUMBER(V30)),V30+ROW()/100000,"")</f>
        <v/>
      </c>
    </row>
    <row r="31" customFormat="false" ht="15" hidden="false" customHeight="false" outlineLevel="0" collapsed="false">
      <c r="A31" s="31" t="str">
        <f aca="false">IF(B31="","",ROW()-5)</f>
        <v/>
      </c>
      <c r="B31" s="32"/>
      <c r="C31" s="32"/>
      <c r="D31" s="32"/>
      <c r="E31" s="32"/>
      <c r="F31" s="32"/>
      <c r="G31" s="32"/>
      <c r="H31" s="33"/>
      <c r="I31" s="33"/>
      <c r="J31" s="32"/>
      <c r="K31" s="33"/>
      <c r="L31" s="32"/>
      <c r="M31" s="34"/>
      <c r="N31" s="34"/>
      <c r="O31" s="35" t="str">
        <f aca="false">IF(OR(M31="",N31="",M31=0),"",N31/M31)</f>
        <v/>
      </c>
      <c r="P31" s="36"/>
      <c r="Q31" s="37"/>
      <c r="R31" s="38" t="str">
        <f aca="false">IF(Q31&lt;&gt;"",Q31,IF(AND(P31&lt;&gt;"",M31&lt;&gt;""),P31*12*M31,""))</f>
        <v/>
      </c>
      <c r="S31" s="32"/>
      <c r="T31" s="32"/>
      <c r="U31" s="39"/>
      <c r="V31" s="39"/>
      <c r="W31" s="34"/>
      <c r="X31" s="32"/>
      <c r="Y31" s="34"/>
      <c r="Z31" s="40" t="str">
        <f aca="false">IF(OR(V31="",Y31=""),"",V31-Y31)</f>
        <v/>
      </c>
      <c r="AA31" s="41" t="str">
        <f aca="true">IF(V31="","",V31-TODAY())</f>
        <v/>
      </c>
      <c r="AB31" s="42" t="str">
        <f aca="false">IF(V31="","",IF(AA31&lt;0,"Past due",IF(AA31&lt;=90,"0–90 days",IF(AA31&lt;=180,"91–180 days",IF(AA31&lt;=365,"181–365 days","Over a year")))))</f>
        <v/>
      </c>
      <c r="AC31" s="43"/>
      <c r="AD31" s="32"/>
      <c r="AE31" s="32"/>
      <c r="AF31" s="33"/>
      <c r="AG31" s="32"/>
      <c r="AH31" s="33"/>
      <c r="AI31" s="32"/>
      <c r="AJ31" s="33"/>
      <c r="AK31" s="32"/>
      <c r="AL31" s="32"/>
      <c r="AM31" s="33"/>
      <c r="AN31" s="31" t="str">
        <f aca="false">IF(B31="","",IFERROR(INDEX(Lookup!$B$2:$B$3000,MATCH(TRIM(B31),Lookup!$A$2:$A$3000,0)),""))</f>
        <v/>
      </c>
      <c r="AO31" s="42" t="str">
        <f aca="false">IF(B31="","",IF(AN31="","No – will be reviewed","Yes"))</f>
        <v/>
      </c>
      <c r="AP31" s="31" t="str">
        <f aca="false">IF(AN31="","",IFERROR(INDEX(Catalog!$B$5:$B$400,MATCH(AN31,Catalog!$A$5:$A$400,0)),""))</f>
        <v/>
      </c>
      <c r="AQ31" s="31" t="str">
        <f aca="false">IF(AN31="","",IFERROR(INDEX(Catalog!$C$5:$C$400,MATCH(AN31,Catalog!$A$5:$A$400,0)),""))</f>
        <v/>
      </c>
      <c r="AR31" s="31" t="str">
        <f aca="false">IF(AN31="","",IFERROR(INDEX(Catalog!$D$5:$D$400,MATCH(AN31,Catalog!$A$5:$A$400,0)),""))</f>
        <v/>
      </c>
      <c r="AS31" s="31" t="str">
        <f aca="false">IF(AN31="","",IFERROR(INDEX(Catalog!$E$5:$E$400,MATCH(AN31,Catalog!$A$5:$A$400,0)),""))</f>
        <v/>
      </c>
      <c r="AT31" s="44" t="str">
        <f aca="false">IF(AN31="","",IFERROR(INDEX(Catalog!$F$5:$F$400,MATCH(AN31,Catalog!$A$5:$A$400,0)),""))</f>
        <v/>
      </c>
      <c r="AU31" s="31" t="str">
        <f aca="false">IF(AND(B31&lt;&gt;"",ISNUMBER(V31)),V31+ROW()/100000,"")</f>
        <v/>
      </c>
    </row>
    <row r="32" customFormat="false" ht="15" hidden="false" customHeight="false" outlineLevel="0" collapsed="false">
      <c r="A32" s="31" t="str">
        <f aca="false">IF(B32="","",ROW()-5)</f>
        <v/>
      </c>
      <c r="B32" s="32"/>
      <c r="C32" s="32"/>
      <c r="D32" s="32"/>
      <c r="E32" s="32"/>
      <c r="F32" s="32"/>
      <c r="G32" s="32"/>
      <c r="H32" s="33"/>
      <c r="I32" s="33"/>
      <c r="J32" s="32"/>
      <c r="K32" s="33"/>
      <c r="L32" s="32"/>
      <c r="M32" s="34"/>
      <c r="N32" s="34"/>
      <c r="O32" s="35" t="str">
        <f aca="false">IF(OR(M32="",N32="",M32=0),"",N32/M32)</f>
        <v/>
      </c>
      <c r="P32" s="36"/>
      <c r="Q32" s="37"/>
      <c r="R32" s="38" t="str">
        <f aca="false">IF(Q32&lt;&gt;"",Q32,IF(AND(P32&lt;&gt;"",M32&lt;&gt;""),P32*12*M32,""))</f>
        <v/>
      </c>
      <c r="S32" s="32"/>
      <c r="T32" s="32"/>
      <c r="U32" s="39"/>
      <c r="V32" s="39"/>
      <c r="W32" s="34"/>
      <c r="X32" s="32"/>
      <c r="Y32" s="34"/>
      <c r="Z32" s="40" t="str">
        <f aca="false">IF(OR(V32="",Y32=""),"",V32-Y32)</f>
        <v/>
      </c>
      <c r="AA32" s="41" t="str">
        <f aca="true">IF(V32="","",V32-TODAY())</f>
        <v/>
      </c>
      <c r="AB32" s="42" t="str">
        <f aca="false">IF(V32="","",IF(AA32&lt;0,"Past due",IF(AA32&lt;=90,"0–90 days",IF(AA32&lt;=180,"91–180 days",IF(AA32&lt;=365,"181–365 days","Over a year")))))</f>
        <v/>
      </c>
      <c r="AC32" s="43"/>
      <c r="AD32" s="32"/>
      <c r="AE32" s="32"/>
      <c r="AF32" s="33"/>
      <c r="AG32" s="32"/>
      <c r="AH32" s="33"/>
      <c r="AI32" s="32"/>
      <c r="AJ32" s="33"/>
      <c r="AK32" s="32"/>
      <c r="AL32" s="32"/>
      <c r="AM32" s="33"/>
      <c r="AN32" s="31" t="str">
        <f aca="false">IF(B32="","",IFERROR(INDEX(Lookup!$B$2:$B$3000,MATCH(TRIM(B32),Lookup!$A$2:$A$3000,0)),""))</f>
        <v/>
      </c>
      <c r="AO32" s="42" t="str">
        <f aca="false">IF(B32="","",IF(AN32="","No – will be reviewed","Yes"))</f>
        <v/>
      </c>
      <c r="AP32" s="31" t="str">
        <f aca="false">IF(AN32="","",IFERROR(INDEX(Catalog!$B$5:$B$400,MATCH(AN32,Catalog!$A$5:$A$400,0)),""))</f>
        <v/>
      </c>
      <c r="AQ32" s="31" t="str">
        <f aca="false">IF(AN32="","",IFERROR(INDEX(Catalog!$C$5:$C$400,MATCH(AN32,Catalog!$A$5:$A$400,0)),""))</f>
        <v/>
      </c>
      <c r="AR32" s="31" t="str">
        <f aca="false">IF(AN32="","",IFERROR(INDEX(Catalog!$D$5:$D$400,MATCH(AN32,Catalog!$A$5:$A$400,0)),""))</f>
        <v/>
      </c>
      <c r="AS32" s="31" t="str">
        <f aca="false">IF(AN32="","",IFERROR(INDEX(Catalog!$E$5:$E$400,MATCH(AN32,Catalog!$A$5:$A$400,0)),""))</f>
        <v/>
      </c>
      <c r="AT32" s="44" t="str">
        <f aca="false">IF(AN32="","",IFERROR(INDEX(Catalog!$F$5:$F$400,MATCH(AN32,Catalog!$A$5:$A$400,0)),""))</f>
        <v/>
      </c>
      <c r="AU32" s="31" t="str">
        <f aca="false">IF(AND(B32&lt;&gt;"",ISNUMBER(V32)),V32+ROW()/100000,"")</f>
        <v/>
      </c>
    </row>
    <row r="33" customFormat="false" ht="15" hidden="false" customHeight="false" outlineLevel="0" collapsed="false">
      <c r="A33" s="31" t="str">
        <f aca="false">IF(B33="","",ROW()-5)</f>
        <v/>
      </c>
      <c r="B33" s="32"/>
      <c r="C33" s="32"/>
      <c r="D33" s="32"/>
      <c r="E33" s="32"/>
      <c r="F33" s="32"/>
      <c r="G33" s="32"/>
      <c r="H33" s="33"/>
      <c r="I33" s="33"/>
      <c r="J33" s="32"/>
      <c r="K33" s="33"/>
      <c r="L33" s="32"/>
      <c r="M33" s="34"/>
      <c r="N33" s="34"/>
      <c r="O33" s="35" t="str">
        <f aca="false">IF(OR(M33="",N33="",M33=0),"",N33/M33)</f>
        <v/>
      </c>
      <c r="P33" s="36"/>
      <c r="Q33" s="37"/>
      <c r="R33" s="38" t="str">
        <f aca="false">IF(Q33&lt;&gt;"",Q33,IF(AND(P33&lt;&gt;"",M33&lt;&gt;""),P33*12*M33,""))</f>
        <v/>
      </c>
      <c r="S33" s="32"/>
      <c r="T33" s="32"/>
      <c r="U33" s="39"/>
      <c r="V33" s="39"/>
      <c r="W33" s="34"/>
      <c r="X33" s="32"/>
      <c r="Y33" s="34"/>
      <c r="Z33" s="40" t="str">
        <f aca="false">IF(OR(V33="",Y33=""),"",V33-Y33)</f>
        <v/>
      </c>
      <c r="AA33" s="41" t="str">
        <f aca="true">IF(V33="","",V33-TODAY())</f>
        <v/>
      </c>
      <c r="AB33" s="42" t="str">
        <f aca="false">IF(V33="","",IF(AA33&lt;0,"Past due",IF(AA33&lt;=90,"0–90 days",IF(AA33&lt;=180,"91–180 days",IF(AA33&lt;=365,"181–365 days","Over a year")))))</f>
        <v/>
      </c>
      <c r="AC33" s="43"/>
      <c r="AD33" s="32"/>
      <c r="AE33" s="32"/>
      <c r="AF33" s="33"/>
      <c r="AG33" s="32"/>
      <c r="AH33" s="33"/>
      <c r="AI33" s="32"/>
      <c r="AJ33" s="33"/>
      <c r="AK33" s="32"/>
      <c r="AL33" s="32"/>
      <c r="AM33" s="33"/>
      <c r="AN33" s="31" t="str">
        <f aca="false">IF(B33="","",IFERROR(INDEX(Lookup!$B$2:$B$3000,MATCH(TRIM(B33),Lookup!$A$2:$A$3000,0)),""))</f>
        <v/>
      </c>
      <c r="AO33" s="42" t="str">
        <f aca="false">IF(B33="","",IF(AN33="","No – will be reviewed","Yes"))</f>
        <v/>
      </c>
      <c r="AP33" s="31" t="str">
        <f aca="false">IF(AN33="","",IFERROR(INDEX(Catalog!$B$5:$B$400,MATCH(AN33,Catalog!$A$5:$A$400,0)),""))</f>
        <v/>
      </c>
      <c r="AQ33" s="31" t="str">
        <f aca="false">IF(AN33="","",IFERROR(INDEX(Catalog!$C$5:$C$400,MATCH(AN33,Catalog!$A$5:$A$400,0)),""))</f>
        <v/>
      </c>
      <c r="AR33" s="31" t="str">
        <f aca="false">IF(AN33="","",IFERROR(INDEX(Catalog!$D$5:$D$400,MATCH(AN33,Catalog!$A$5:$A$400,0)),""))</f>
        <v/>
      </c>
      <c r="AS33" s="31" t="str">
        <f aca="false">IF(AN33="","",IFERROR(INDEX(Catalog!$E$5:$E$400,MATCH(AN33,Catalog!$A$5:$A$400,0)),""))</f>
        <v/>
      </c>
      <c r="AT33" s="44" t="str">
        <f aca="false">IF(AN33="","",IFERROR(INDEX(Catalog!$F$5:$F$400,MATCH(AN33,Catalog!$A$5:$A$400,0)),""))</f>
        <v/>
      </c>
      <c r="AU33" s="31" t="str">
        <f aca="false">IF(AND(B33&lt;&gt;"",ISNUMBER(V33)),V33+ROW()/100000,"")</f>
        <v/>
      </c>
    </row>
    <row r="34" customFormat="false" ht="15" hidden="false" customHeight="false" outlineLevel="0" collapsed="false">
      <c r="A34" s="31" t="str">
        <f aca="false">IF(B34="","",ROW()-5)</f>
        <v/>
      </c>
      <c r="B34" s="32"/>
      <c r="C34" s="32"/>
      <c r="D34" s="32"/>
      <c r="E34" s="32"/>
      <c r="F34" s="32"/>
      <c r="G34" s="32"/>
      <c r="H34" s="33"/>
      <c r="I34" s="33"/>
      <c r="J34" s="32"/>
      <c r="K34" s="33"/>
      <c r="L34" s="32"/>
      <c r="M34" s="34"/>
      <c r="N34" s="34"/>
      <c r="O34" s="35" t="str">
        <f aca="false">IF(OR(M34="",N34="",M34=0),"",N34/M34)</f>
        <v/>
      </c>
      <c r="P34" s="36"/>
      <c r="Q34" s="37"/>
      <c r="R34" s="38" t="str">
        <f aca="false">IF(Q34&lt;&gt;"",Q34,IF(AND(P34&lt;&gt;"",M34&lt;&gt;""),P34*12*M34,""))</f>
        <v/>
      </c>
      <c r="S34" s="32"/>
      <c r="T34" s="32"/>
      <c r="U34" s="39"/>
      <c r="V34" s="39"/>
      <c r="W34" s="34"/>
      <c r="X34" s="32"/>
      <c r="Y34" s="34"/>
      <c r="Z34" s="40" t="str">
        <f aca="false">IF(OR(V34="",Y34=""),"",V34-Y34)</f>
        <v/>
      </c>
      <c r="AA34" s="41" t="str">
        <f aca="true">IF(V34="","",V34-TODAY())</f>
        <v/>
      </c>
      <c r="AB34" s="42" t="str">
        <f aca="false">IF(V34="","",IF(AA34&lt;0,"Past due",IF(AA34&lt;=90,"0–90 days",IF(AA34&lt;=180,"91–180 days",IF(AA34&lt;=365,"181–365 days","Over a year")))))</f>
        <v/>
      </c>
      <c r="AC34" s="43"/>
      <c r="AD34" s="32"/>
      <c r="AE34" s="32"/>
      <c r="AF34" s="33"/>
      <c r="AG34" s="32"/>
      <c r="AH34" s="33"/>
      <c r="AI34" s="32"/>
      <c r="AJ34" s="33"/>
      <c r="AK34" s="32"/>
      <c r="AL34" s="32"/>
      <c r="AM34" s="33"/>
      <c r="AN34" s="31" t="str">
        <f aca="false">IF(B34="","",IFERROR(INDEX(Lookup!$B$2:$B$3000,MATCH(TRIM(B34),Lookup!$A$2:$A$3000,0)),""))</f>
        <v/>
      </c>
      <c r="AO34" s="42" t="str">
        <f aca="false">IF(B34="","",IF(AN34="","No – will be reviewed","Yes"))</f>
        <v/>
      </c>
      <c r="AP34" s="31" t="str">
        <f aca="false">IF(AN34="","",IFERROR(INDEX(Catalog!$B$5:$B$400,MATCH(AN34,Catalog!$A$5:$A$400,0)),""))</f>
        <v/>
      </c>
      <c r="AQ34" s="31" t="str">
        <f aca="false">IF(AN34="","",IFERROR(INDEX(Catalog!$C$5:$C$400,MATCH(AN34,Catalog!$A$5:$A$400,0)),""))</f>
        <v/>
      </c>
      <c r="AR34" s="31" t="str">
        <f aca="false">IF(AN34="","",IFERROR(INDEX(Catalog!$D$5:$D$400,MATCH(AN34,Catalog!$A$5:$A$400,0)),""))</f>
        <v/>
      </c>
      <c r="AS34" s="31" t="str">
        <f aca="false">IF(AN34="","",IFERROR(INDEX(Catalog!$E$5:$E$400,MATCH(AN34,Catalog!$A$5:$A$400,0)),""))</f>
        <v/>
      </c>
      <c r="AT34" s="44" t="str">
        <f aca="false">IF(AN34="","",IFERROR(INDEX(Catalog!$F$5:$F$400,MATCH(AN34,Catalog!$A$5:$A$400,0)),""))</f>
        <v/>
      </c>
      <c r="AU34" s="31" t="str">
        <f aca="false">IF(AND(B34&lt;&gt;"",ISNUMBER(V34)),V34+ROW()/100000,"")</f>
        <v/>
      </c>
    </row>
    <row r="35" customFormat="false" ht="15" hidden="false" customHeight="false" outlineLevel="0" collapsed="false">
      <c r="A35" s="31" t="str">
        <f aca="false">IF(B35="","",ROW()-5)</f>
        <v/>
      </c>
      <c r="B35" s="32"/>
      <c r="C35" s="32"/>
      <c r="D35" s="32"/>
      <c r="E35" s="32"/>
      <c r="F35" s="32"/>
      <c r="G35" s="32"/>
      <c r="H35" s="33"/>
      <c r="I35" s="33"/>
      <c r="J35" s="32"/>
      <c r="K35" s="33"/>
      <c r="L35" s="32"/>
      <c r="M35" s="34"/>
      <c r="N35" s="34"/>
      <c r="O35" s="35" t="str">
        <f aca="false">IF(OR(M35="",N35="",M35=0),"",N35/M35)</f>
        <v/>
      </c>
      <c r="P35" s="36"/>
      <c r="Q35" s="37"/>
      <c r="R35" s="38" t="str">
        <f aca="false">IF(Q35&lt;&gt;"",Q35,IF(AND(P35&lt;&gt;"",M35&lt;&gt;""),P35*12*M35,""))</f>
        <v/>
      </c>
      <c r="S35" s="32"/>
      <c r="T35" s="32"/>
      <c r="U35" s="39"/>
      <c r="V35" s="39"/>
      <c r="W35" s="34"/>
      <c r="X35" s="32"/>
      <c r="Y35" s="34"/>
      <c r="Z35" s="40" t="str">
        <f aca="false">IF(OR(V35="",Y35=""),"",V35-Y35)</f>
        <v/>
      </c>
      <c r="AA35" s="41" t="str">
        <f aca="true">IF(V35="","",V35-TODAY())</f>
        <v/>
      </c>
      <c r="AB35" s="42" t="str">
        <f aca="false">IF(V35="","",IF(AA35&lt;0,"Past due",IF(AA35&lt;=90,"0–90 days",IF(AA35&lt;=180,"91–180 days",IF(AA35&lt;=365,"181–365 days","Over a year")))))</f>
        <v/>
      </c>
      <c r="AC35" s="43"/>
      <c r="AD35" s="32"/>
      <c r="AE35" s="32"/>
      <c r="AF35" s="33"/>
      <c r="AG35" s="32"/>
      <c r="AH35" s="33"/>
      <c r="AI35" s="32"/>
      <c r="AJ35" s="33"/>
      <c r="AK35" s="32"/>
      <c r="AL35" s="32"/>
      <c r="AM35" s="33"/>
      <c r="AN35" s="31" t="str">
        <f aca="false">IF(B35="","",IFERROR(INDEX(Lookup!$B$2:$B$3000,MATCH(TRIM(B35),Lookup!$A$2:$A$3000,0)),""))</f>
        <v/>
      </c>
      <c r="AO35" s="42" t="str">
        <f aca="false">IF(B35="","",IF(AN35="","No – will be reviewed","Yes"))</f>
        <v/>
      </c>
      <c r="AP35" s="31" t="str">
        <f aca="false">IF(AN35="","",IFERROR(INDEX(Catalog!$B$5:$B$400,MATCH(AN35,Catalog!$A$5:$A$400,0)),""))</f>
        <v/>
      </c>
      <c r="AQ35" s="31" t="str">
        <f aca="false">IF(AN35="","",IFERROR(INDEX(Catalog!$C$5:$C$400,MATCH(AN35,Catalog!$A$5:$A$400,0)),""))</f>
        <v/>
      </c>
      <c r="AR35" s="31" t="str">
        <f aca="false">IF(AN35="","",IFERROR(INDEX(Catalog!$D$5:$D$400,MATCH(AN35,Catalog!$A$5:$A$400,0)),""))</f>
        <v/>
      </c>
      <c r="AS35" s="31" t="str">
        <f aca="false">IF(AN35="","",IFERROR(INDEX(Catalog!$E$5:$E$400,MATCH(AN35,Catalog!$A$5:$A$400,0)),""))</f>
        <v/>
      </c>
      <c r="AT35" s="44" t="str">
        <f aca="false">IF(AN35="","",IFERROR(INDEX(Catalog!$F$5:$F$400,MATCH(AN35,Catalog!$A$5:$A$400,0)),""))</f>
        <v/>
      </c>
      <c r="AU35" s="31" t="str">
        <f aca="false">IF(AND(B35&lt;&gt;"",ISNUMBER(V35)),V35+ROW()/100000,"")</f>
        <v/>
      </c>
    </row>
    <row r="36" customFormat="false" ht="15" hidden="false" customHeight="false" outlineLevel="0" collapsed="false">
      <c r="A36" s="31" t="str">
        <f aca="false">IF(B36="","",ROW()-5)</f>
        <v/>
      </c>
      <c r="B36" s="32"/>
      <c r="C36" s="32"/>
      <c r="D36" s="32"/>
      <c r="E36" s="32"/>
      <c r="F36" s="32"/>
      <c r="G36" s="32"/>
      <c r="H36" s="33"/>
      <c r="I36" s="33"/>
      <c r="J36" s="32"/>
      <c r="K36" s="33"/>
      <c r="L36" s="32"/>
      <c r="M36" s="34"/>
      <c r="N36" s="34"/>
      <c r="O36" s="35" t="str">
        <f aca="false">IF(OR(M36="",N36="",M36=0),"",N36/M36)</f>
        <v/>
      </c>
      <c r="P36" s="36"/>
      <c r="Q36" s="37"/>
      <c r="R36" s="38" t="str">
        <f aca="false">IF(Q36&lt;&gt;"",Q36,IF(AND(P36&lt;&gt;"",M36&lt;&gt;""),P36*12*M36,""))</f>
        <v/>
      </c>
      <c r="S36" s="32"/>
      <c r="T36" s="32"/>
      <c r="U36" s="39"/>
      <c r="V36" s="39"/>
      <c r="W36" s="34"/>
      <c r="X36" s="32"/>
      <c r="Y36" s="34"/>
      <c r="Z36" s="40" t="str">
        <f aca="false">IF(OR(V36="",Y36=""),"",V36-Y36)</f>
        <v/>
      </c>
      <c r="AA36" s="41" t="str">
        <f aca="true">IF(V36="","",V36-TODAY())</f>
        <v/>
      </c>
      <c r="AB36" s="42" t="str">
        <f aca="false">IF(V36="","",IF(AA36&lt;0,"Past due",IF(AA36&lt;=90,"0–90 days",IF(AA36&lt;=180,"91–180 days",IF(AA36&lt;=365,"181–365 days","Over a year")))))</f>
        <v/>
      </c>
      <c r="AC36" s="43"/>
      <c r="AD36" s="32"/>
      <c r="AE36" s="32"/>
      <c r="AF36" s="33"/>
      <c r="AG36" s="32"/>
      <c r="AH36" s="33"/>
      <c r="AI36" s="32"/>
      <c r="AJ36" s="33"/>
      <c r="AK36" s="32"/>
      <c r="AL36" s="32"/>
      <c r="AM36" s="33"/>
      <c r="AN36" s="31" t="str">
        <f aca="false">IF(B36="","",IFERROR(INDEX(Lookup!$B$2:$B$3000,MATCH(TRIM(B36),Lookup!$A$2:$A$3000,0)),""))</f>
        <v/>
      </c>
      <c r="AO36" s="42" t="str">
        <f aca="false">IF(B36="","",IF(AN36="","No – will be reviewed","Yes"))</f>
        <v/>
      </c>
      <c r="AP36" s="31" t="str">
        <f aca="false">IF(AN36="","",IFERROR(INDEX(Catalog!$B$5:$B$400,MATCH(AN36,Catalog!$A$5:$A$400,0)),""))</f>
        <v/>
      </c>
      <c r="AQ36" s="31" t="str">
        <f aca="false">IF(AN36="","",IFERROR(INDEX(Catalog!$C$5:$C$400,MATCH(AN36,Catalog!$A$5:$A$400,0)),""))</f>
        <v/>
      </c>
      <c r="AR36" s="31" t="str">
        <f aca="false">IF(AN36="","",IFERROR(INDEX(Catalog!$D$5:$D$400,MATCH(AN36,Catalog!$A$5:$A$400,0)),""))</f>
        <v/>
      </c>
      <c r="AS36" s="31" t="str">
        <f aca="false">IF(AN36="","",IFERROR(INDEX(Catalog!$E$5:$E$400,MATCH(AN36,Catalog!$A$5:$A$400,0)),""))</f>
        <v/>
      </c>
      <c r="AT36" s="44" t="str">
        <f aca="false">IF(AN36="","",IFERROR(INDEX(Catalog!$F$5:$F$400,MATCH(AN36,Catalog!$A$5:$A$400,0)),""))</f>
        <v/>
      </c>
      <c r="AU36" s="31" t="str">
        <f aca="false">IF(AND(B36&lt;&gt;"",ISNUMBER(V36)),V36+ROW()/100000,"")</f>
        <v/>
      </c>
    </row>
    <row r="37" customFormat="false" ht="15" hidden="false" customHeight="false" outlineLevel="0" collapsed="false">
      <c r="A37" s="31" t="str">
        <f aca="false">IF(B37="","",ROW()-5)</f>
        <v/>
      </c>
      <c r="B37" s="32"/>
      <c r="C37" s="32"/>
      <c r="D37" s="32"/>
      <c r="E37" s="32"/>
      <c r="F37" s="32"/>
      <c r="G37" s="32"/>
      <c r="H37" s="33"/>
      <c r="I37" s="33"/>
      <c r="J37" s="32"/>
      <c r="K37" s="33"/>
      <c r="L37" s="32"/>
      <c r="M37" s="34"/>
      <c r="N37" s="34"/>
      <c r="O37" s="35" t="str">
        <f aca="false">IF(OR(M37="",N37="",M37=0),"",N37/M37)</f>
        <v/>
      </c>
      <c r="P37" s="36"/>
      <c r="Q37" s="37"/>
      <c r="R37" s="38" t="str">
        <f aca="false">IF(Q37&lt;&gt;"",Q37,IF(AND(P37&lt;&gt;"",M37&lt;&gt;""),P37*12*M37,""))</f>
        <v/>
      </c>
      <c r="S37" s="32"/>
      <c r="T37" s="32"/>
      <c r="U37" s="39"/>
      <c r="V37" s="39"/>
      <c r="W37" s="34"/>
      <c r="X37" s="32"/>
      <c r="Y37" s="34"/>
      <c r="Z37" s="40" t="str">
        <f aca="false">IF(OR(V37="",Y37=""),"",V37-Y37)</f>
        <v/>
      </c>
      <c r="AA37" s="41" t="str">
        <f aca="true">IF(V37="","",V37-TODAY())</f>
        <v/>
      </c>
      <c r="AB37" s="42" t="str">
        <f aca="false">IF(V37="","",IF(AA37&lt;0,"Past due",IF(AA37&lt;=90,"0–90 days",IF(AA37&lt;=180,"91–180 days",IF(AA37&lt;=365,"181–365 days","Over a year")))))</f>
        <v/>
      </c>
      <c r="AC37" s="43"/>
      <c r="AD37" s="32"/>
      <c r="AE37" s="32"/>
      <c r="AF37" s="33"/>
      <c r="AG37" s="32"/>
      <c r="AH37" s="33"/>
      <c r="AI37" s="32"/>
      <c r="AJ37" s="33"/>
      <c r="AK37" s="32"/>
      <c r="AL37" s="32"/>
      <c r="AM37" s="33"/>
      <c r="AN37" s="31" t="str">
        <f aca="false">IF(B37="","",IFERROR(INDEX(Lookup!$B$2:$B$3000,MATCH(TRIM(B37),Lookup!$A$2:$A$3000,0)),""))</f>
        <v/>
      </c>
      <c r="AO37" s="42" t="str">
        <f aca="false">IF(B37="","",IF(AN37="","No – will be reviewed","Yes"))</f>
        <v/>
      </c>
      <c r="AP37" s="31" t="str">
        <f aca="false">IF(AN37="","",IFERROR(INDEX(Catalog!$B$5:$B$400,MATCH(AN37,Catalog!$A$5:$A$400,0)),""))</f>
        <v/>
      </c>
      <c r="AQ37" s="31" t="str">
        <f aca="false">IF(AN37="","",IFERROR(INDEX(Catalog!$C$5:$C$400,MATCH(AN37,Catalog!$A$5:$A$400,0)),""))</f>
        <v/>
      </c>
      <c r="AR37" s="31" t="str">
        <f aca="false">IF(AN37="","",IFERROR(INDEX(Catalog!$D$5:$D$400,MATCH(AN37,Catalog!$A$5:$A$400,0)),""))</f>
        <v/>
      </c>
      <c r="AS37" s="31" t="str">
        <f aca="false">IF(AN37="","",IFERROR(INDEX(Catalog!$E$5:$E$400,MATCH(AN37,Catalog!$A$5:$A$400,0)),""))</f>
        <v/>
      </c>
      <c r="AT37" s="44" t="str">
        <f aca="false">IF(AN37="","",IFERROR(INDEX(Catalog!$F$5:$F$400,MATCH(AN37,Catalog!$A$5:$A$400,0)),""))</f>
        <v/>
      </c>
      <c r="AU37" s="31" t="str">
        <f aca="false">IF(AND(B37&lt;&gt;"",ISNUMBER(V37)),V37+ROW()/100000,"")</f>
        <v/>
      </c>
    </row>
    <row r="38" customFormat="false" ht="15" hidden="false" customHeight="false" outlineLevel="0" collapsed="false">
      <c r="A38" s="31" t="str">
        <f aca="false">IF(B38="","",ROW()-5)</f>
        <v/>
      </c>
      <c r="B38" s="32"/>
      <c r="C38" s="32"/>
      <c r="D38" s="32"/>
      <c r="E38" s="32"/>
      <c r="F38" s="32"/>
      <c r="G38" s="32"/>
      <c r="H38" s="33"/>
      <c r="I38" s="33"/>
      <c r="J38" s="32"/>
      <c r="K38" s="33"/>
      <c r="L38" s="32"/>
      <c r="M38" s="34"/>
      <c r="N38" s="34"/>
      <c r="O38" s="35" t="str">
        <f aca="false">IF(OR(M38="",N38="",M38=0),"",N38/M38)</f>
        <v/>
      </c>
      <c r="P38" s="36"/>
      <c r="Q38" s="37"/>
      <c r="R38" s="38" t="str">
        <f aca="false">IF(Q38&lt;&gt;"",Q38,IF(AND(P38&lt;&gt;"",M38&lt;&gt;""),P38*12*M38,""))</f>
        <v/>
      </c>
      <c r="S38" s="32"/>
      <c r="T38" s="32"/>
      <c r="U38" s="39"/>
      <c r="V38" s="39"/>
      <c r="W38" s="34"/>
      <c r="X38" s="32"/>
      <c r="Y38" s="34"/>
      <c r="Z38" s="40" t="str">
        <f aca="false">IF(OR(V38="",Y38=""),"",V38-Y38)</f>
        <v/>
      </c>
      <c r="AA38" s="41" t="str">
        <f aca="true">IF(V38="","",V38-TODAY())</f>
        <v/>
      </c>
      <c r="AB38" s="42" t="str">
        <f aca="false">IF(V38="","",IF(AA38&lt;0,"Past due",IF(AA38&lt;=90,"0–90 days",IF(AA38&lt;=180,"91–180 days",IF(AA38&lt;=365,"181–365 days","Over a year")))))</f>
        <v/>
      </c>
      <c r="AC38" s="43"/>
      <c r="AD38" s="32"/>
      <c r="AE38" s="32"/>
      <c r="AF38" s="33"/>
      <c r="AG38" s="32"/>
      <c r="AH38" s="33"/>
      <c r="AI38" s="32"/>
      <c r="AJ38" s="33"/>
      <c r="AK38" s="32"/>
      <c r="AL38" s="32"/>
      <c r="AM38" s="33"/>
      <c r="AN38" s="31" t="str">
        <f aca="false">IF(B38="","",IFERROR(INDEX(Lookup!$B$2:$B$3000,MATCH(TRIM(B38),Lookup!$A$2:$A$3000,0)),""))</f>
        <v/>
      </c>
      <c r="AO38" s="42" t="str">
        <f aca="false">IF(B38="","",IF(AN38="","No – will be reviewed","Yes"))</f>
        <v/>
      </c>
      <c r="AP38" s="31" t="str">
        <f aca="false">IF(AN38="","",IFERROR(INDEX(Catalog!$B$5:$B$400,MATCH(AN38,Catalog!$A$5:$A$400,0)),""))</f>
        <v/>
      </c>
      <c r="AQ38" s="31" t="str">
        <f aca="false">IF(AN38="","",IFERROR(INDEX(Catalog!$C$5:$C$400,MATCH(AN38,Catalog!$A$5:$A$400,0)),""))</f>
        <v/>
      </c>
      <c r="AR38" s="31" t="str">
        <f aca="false">IF(AN38="","",IFERROR(INDEX(Catalog!$D$5:$D$400,MATCH(AN38,Catalog!$A$5:$A$400,0)),""))</f>
        <v/>
      </c>
      <c r="AS38" s="31" t="str">
        <f aca="false">IF(AN38="","",IFERROR(INDEX(Catalog!$E$5:$E$400,MATCH(AN38,Catalog!$A$5:$A$400,0)),""))</f>
        <v/>
      </c>
      <c r="AT38" s="44" t="str">
        <f aca="false">IF(AN38="","",IFERROR(INDEX(Catalog!$F$5:$F$400,MATCH(AN38,Catalog!$A$5:$A$400,0)),""))</f>
        <v/>
      </c>
      <c r="AU38" s="31" t="str">
        <f aca="false">IF(AND(B38&lt;&gt;"",ISNUMBER(V38)),V38+ROW()/100000,"")</f>
        <v/>
      </c>
    </row>
    <row r="39" customFormat="false" ht="15" hidden="false" customHeight="false" outlineLevel="0" collapsed="false">
      <c r="A39" s="31" t="str">
        <f aca="false">IF(B39="","",ROW()-5)</f>
        <v/>
      </c>
      <c r="B39" s="32"/>
      <c r="C39" s="32"/>
      <c r="D39" s="32"/>
      <c r="E39" s="32"/>
      <c r="F39" s="32"/>
      <c r="G39" s="32"/>
      <c r="H39" s="33"/>
      <c r="I39" s="33"/>
      <c r="J39" s="32"/>
      <c r="K39" s="33"/>
      <c r="L39" s="32"/>
      <c r="M39" s="34"/>
      <c r="N39" s="34"/>
      <c r="O39" s="35" t="str">
        <f aca="false">IF(OR(M39="",N39="",M39=0),"",N39/M39)</f>
        <v/>
      </c>
      <c r="P39" s="36"/>
      <c r="Q39" s="37"/>
      <c r="R39" s="38" t="str">
        <f aca="false">IF(Q39&lt;&gt;"",Q39,IF(AND(P39&lt;&gt;"",M39&lt;&gt;""),P39*12*M39,""))</f>
        <v/>
      </c>
      <c r="S39" s="32"/>
      <c r="T39" s="32"/>
      <c r="U39" s="39"/>
      <c r="V39" s="39"/>
      <c r="W39" s="34"/>
      <c r="X39" s="32"/>
      <c r="Y39" s="34"/>
      <c r="Z39" s="40" t="str">
        <f aca="false">IF(OR(V39="",Y39=""),"",V39-Y39)</f>
        <v/>
      </c>
      <c r="AA39" s="41" t="str">
        <f aca="true">IF(V39="","",V39-TODAY())</f>
        <v/>
      </c>
      <c r="AB39" s="42" t="str">
        <f aca="false">IF(V39="","",IF(AA39&lt;0,"Past due",IF(AA39&lt;=90,"0–90 days",IF(AA39&lt;=180,"91–180 days",IF(AA39&lt;=365,"181–365 days","Over a year")))))</f>
        <v/>
      </c>
      <c r="AC39" s="43"/>
      <c r="AD39" s="32"/>
      <c r="AE39" s="32"/>
      <c r="AF39" s="33"/>
      <c r="AG39" s="32"/>
      <c r="AH39" s="33"/>
      <c r="AI39" s="32"/>
      <c r="AJ39" s="33"/>
      <c r="AK39" s="32"/>
      <c r="AL39" s="32"/>
      <c r="AM39" s="33"/>
      <c r="AN39" s="31" t="str">
        <f aca="false">IF(B39="","",IFERROR(INDEX(Lookup!$B$2:$B$3000,MATCH(TRIM(B39),Lookup!$A$2:$A$3000,0)),""))</f>
        <v/>
      </c>
      <c r="AO39" s="42" t="str">
        <f aca="false">IF(B39="","",IF(AN39="","No – will be reviewed","Yes"))</f>
        <v/>
      </c>
      <c r="AP39" s="31" t="str">
        <f aca="false">IF(AN39="","",IFERROR(INDEX(Catalog!$B$5:$B$400,MATCH(AN39,Catalog!$A$5:$A$400,0)),""))</f>
        <v/>
      </c>
      <c r="AQ39" s="31" t="str">
        <f aca="false">IF(AN39="","",IFERROR(INDEX(Catalog!$C$5:$C$400,MATCH(AN39,Catalog!$A$5:$A$400,0)),""))</f>
        <v/>
      </c>
      <c r="AR39" s="31" t="str">
        <f aca="false">IF(AN39="","",IFERROR(INDEX(Catalog!$D$5:$D$400,MATCH(AN39,Catalog!$A$5:$A$400,0)),""))</f>
        <v/>
      </c>
      <c r="AS39" s="31" t="str">
        <f aca="false">IF(AN39="","",IFERROR(INDEX(Catalog!$E$5:$E$400,MATCH(AN39,Catalog!$A$5:$A$400,0)),""))</f>
        <v/>
      </c>
      <c r="AT39" s="44" t="str">
        <f aca="false">IF(AN39="","",IFERROR(INDEX(Catalog!$F$5:$F$400,MATCH(AN39,Catalog!$A$5:$A$400,0)),""))</f>
        <v/>
      </c>
      <c r="AU39" s="31" t="str">
        <f aca="false">IF(AND(B39&lt;&gt;"",ISNUMBER(V39)),V39+ROW()/100000,"")</f>
        <v/>
      </c>
    </row>
    <row r="40" customFormat="false" ht="15" hidden="false" customHeight="false" outlineLevel="0" collapsed="false">
      <c r="A40" s="31" t="str">
        <f aca="false">IF(B40="","",ROW()-5)</f>
        <v/>
      </c>
      <c r="B40" s="32"/>
      <c r="C40" s="32"/>
      <c r="D40" s="32"/>
      <c r="E40" s="32"/>
      <c r="F40" s="32"/>
      <c r="G40" s="32"/>
      <c r="H40" s="33"/>
      <c r="I40" s="33"/>
      <c r="J40" s="32"/>
      <c r="K40" s="33"/>
      <c r="L40" s="32"/>
      <c r="M40" s="34"/>
      <c r="N40" s="34"/>
      <c r="O40" s="35" t="str">
        <f aca="false">IF(OR(M40="",N40="",M40=0),"",N40/M40)</f>
        <v/>
      </c>
      <c r="P40" s="36"/>
      <c r="Q40" s="37"/>
      <c r="R40" s="38" t="str">
        <f aca="false">IF(Q40&lt;&gt;"",Q40,IF(AND(P40&lt;&gt;"",M40&lt;&gt;""),P40*12*M40,""))</f>
        <v/>
      </c>
      <c r="S40" s="32"/>
      <c r="T40" s="32"/>
      <c r="U40" s="39"/>
      <c r="V40" s="39"/>
      <c r="W40" s="34"/>
      <c r="X40" s="32"/>
      <c r="Y40" s="34"/>
      <c r="Z40" s="40" t="str">
        <f aca="false">IF(OR(V40="",Y40=""),"",V40-Y40)</f>
        <v/>
      </c>
      <c r="AA40" s="41" t="str">
        <f aca="true">IF(V40="","",V40-TODAY())</f>
        <v/>
      </c>
      <c r="AB40" s="42" t="str">
        <f aca="false">IF(V40="","",IF(AA40&lt;0,"Past due",IF(AA40&lt;=90,"0–90 days",IF(AA40&lt;=180,"91–180 days",IF(AA40&lt;=365,"181–365 days","Over a year")))))</f>
        <v/>
      </c>
      <c r="AC40" s="43"/>
      <c r="AD40" s="32"/>
      <c r="AE40" s="32"/>
      <c r="AF40" s="33"/>
      <c r="AG40" s="32"/>
      <c r="AH40" s="33"/>
      <c r="AI40" s="32"/>
      <c r="AJ40" s="33"/>
      <c r="AK40" s="32"/>
      <c r="AL40" s="32"/>
      <c r="AM40" s="33"/>
      <c r="AN40" s="31" t="str">
        <f aca="false">IF(B40="","",IFERROR(INDEX(Lookup!$B$2:$B$3000,MATCH(TRIM(B40),Lookup!$A$2:$A$3000,0)),""))</f>
        <v/>
      </c>
      <c r="AO40" s="42" t="str">
        <f aca="false">IF(B40="","",IF(AN40="","No – will be reviewed","Yes"))</f>
        <v/>
      </c>
      <c r="AP40" s="31" t="str">
        <f aca="false">IF(AN40="","",IFERROR(INDEX(Catalog!$B$5:$B$400,MATCH(AN40,Catalog!$A$5:$A$400,0)),""))</f>
        <v/>
      </c>
      <c r="AQ40" s="31" t="str">
        <f aca="false">IF(AN40="","",IFERROR(INDEX(Catalog!$C$5:$C$400,MATCH(AN40,Catalog!$A$5:$A$400,0)),""))</f>
        <v/>
      </c>
      <c r="AR40" s="31" t="str">
        <f aca="false">IF(AN40="","",IFERROR(INDEX(Catalog!$D$5:$D$400,MATCH(AN40,Catalog!$A$5:$A$400,0)),""))</f>
        <v/>
      </c>
      <c r="AS40" s="31" t="str">
        <f aca="false">IF(AN40="","",IFERROR(INDEX(Catalog!$E$5:$E$400,MATCH(AN40,Catalog!$A$5:$A$400,0)),""))</f>
        <v/>
      </c>
      <c r="AT40" s="44" t="str">
        <f aca="false">IF(AN40="","",IFERROR(INDEX(Catalog!$F$5:$F$400,MATCH(AN40,Catalog!$A$5:$A$400,0)),""))</f>
        <v/>
      </c>
      <c r="AU40" s="31" t="str">
        <f aca="false">IF(AND(B40&lt;&gt;"",ISNUMBER(V40)),V40+ROW()/100000,"")</f>
        <v/>
      </c>
    </row>
    <row r="41" customFormat="false" ht="15" hidden="false" customHeight="false" outlineLevel="0" collapsed="false">
      <c r="A41" s="31" t="str">
        <f aca="false">IF(B41="","",ROW()-5)</f>
        <v/>
      </c>
      <c r="B41" s="32"/>
      <c r="C41" s="32"/>
      <c r="D41" s="32"/>
      <c r="E41" s="32"/>
      <c r="F41" s="32"/>
      <c r="G41" s="32"/>
      <c r="H41" s="33"/>
      <c r="I41" s="33"/>
      <c r="J41" s="32"/>
      <c r="K41" s="33"/>
      <c r="L41" s="32"/>
      <c r="M41" s="34"/>
      <c r="N41" s="34"/>
      <c r="O41" s="35" t="str">
        <f aca="false">IF(OR(M41="",N41="",M41=0),"",N41/M41)</f>
        <v/>
      </c>
      <c r="P41" s="36"/>
      <c r="Q41" s="37"/>
      <c r="R41" s="38" t="str">
        <f aca="false">IF(Q41&lt;&gt;"",Q41,IF(AND(P41&lt;&gt;"",M41&lt;&gt;""),P41*12*M41,""))</f>
        <v/>
      </c>
      <c r="S41" s="32"/>
      <c r="T41" s="32"/>
      <c r="U41" s="39"/>
      <c r="V41" s="39"/>
      <c r="W41" s="34"/>
      <c r="X41" s="32"/>
      <c r="Y41" s="34"/>
      <c r="Z41" s="40" t="str">
        <f aca="false">IF(OR(V41="",Y41=""),"",V41-Y41)</f>
        <v/>
      </c>
      <c r="AA41" s="41" t="str">
        <f aca="true">IF(V41="","",V41-TODAY())</f>
        <v/>
      </c>
      <c r="AB41" s="42" t="str">
        <f aca="false">IF(V41="","",IF(AA41&lt;0,"Past due",IF(AA41&lt;=90,"0–90 days",IF(AA41&lt;=180,"91–180 days",IF(AA41&lt;=365,"181–365 days","Over a year")))))</f>
        <v/>
      </c>
      <c r="AC41" s="43"/>
      <c r="AD41" s="32"/>
      <c r="AE41" s="32"/>
      <c r="AF41" s="33"/>
      <c r="AG41" s="32"/>
      <c r="AH41" s="33"/>
      <c r="AI41" s="32"/>
      <c r="AJ41" s="33"/>
      <c r="AK41" s="32"/>
      <c r="AL41" s="32"/>
      <c r="AM41" s="33"/>
      <c r="AN41" s="31" t="str">
        <f aca="false">IF(B41="","",IFERROR(INDEX(Lookup!$B$2:$B$3000,MATCH(TRIM(B41),Lookup!$A$2:$A$3000,0)),""))</f>
        <v/>
      </c>
      <c r="AO41" s="42" t="str">
        <f aca="false">IF(B41="","",IF(AN41="","No – will be reviewed","Yes"))</f>
        <v/>
      </c>
      <c r="AP41" s="31" t="str">
        <f aca="false">IF(AN41="","",IFERROR(INDEX(Catalog!$B$5:$B$400,MATCH(AN41,Catalog!$A$5:$A$400,0)),""))</f>
        <v/>
      </c>
      <c r="AQ41" s="31" t="str">
        <f aca="false">IF(AN41="","",IFERROR(INDEX(Catalog!$C$5:$C$400,MATCH(AN41,Catalog!$A$5:$A$400,0)),""))</f>
        <v/>
      </c>
      <c r="AR41" s="31" t="str">
        <f aca="false">IF(AN41="","",IFERROR(INDEX(Catalog!$D$5:$D$400,MATCH(AN41,Catalog!$A$5:$A$400,0)),""))</f>
        <v/>
      </c>
      <c r="AS41" s="31" t="str">
        <f aca="false">IF(AN41="","",IFERROR(INDEX(Catalog!$E$5:$E$400,MATCH(AN41,Catalog!$A$5:$A$400,0)),""))</f>
        <v/>
      </c>
      <c r="AT41" s="44" t="str">
        <f aca="false">IF(AN41="","",IFERROR(INDEX(Catalog!$F$5:$F$400,MATCH(AN41,Catalog!$A$5:$A$400,0)),""))</f>
        <v/>
      </c>
      <c r="AU41" s="31" t="str">
        <f aca="false">IF(AND(B41&lt;&gt;"",ISNUMBER(V41)),V41+ROW()/100000,"")</f>
        <v/>
      </c>
    </row>
    <row r="42" customFormat="false" ht="15" hidden="false" customHeight="false" outlineLevel="0" collapsed="false">
      <c r="A42" s="31" t="str">
        <f aca="false">IF(B42="","",ROW()-5)</f>
        <v/>
      </c>
      <c r="B42" s="32"/>
      <c r="C42" s="32"/>
      <c r="D42" s="32"/>
      <c r="E42" s="32"/>
      <c r="F42" s="32"/>
      <c r="G42" s="32"/>
      <c r="H42" s="33"/>
      <c r="I42" s="33"/>
      <c r="J42" s="32"/>
      <c r="K42" s="33"/>
      <c r="L42" s="32"/>
      <c r="M42" s="34"/>
      <c r="N42" s="34"/>
      <c r="O42" s="35" t="str">
        <f aca="false">IF(OR(M42="",N42="",M42=0),"",N42/M42)</f>
        <v/>
      </c>
      <c r="P42" s="36"/>
      <c r="Q42" s="37"/>
      <c r="R42" s="38" t="str">
        <f aca="false">IF(Q42&lt;&gt;"",Q42,IF(AND(P42&lt;&gt;"",M42&lt;&gt;""),P42*12*M42,""))</f>
        <v/>
      </c>
      <c r="S42" s="32"/>
      <c r="T42" s="32"/>
      <c r="U42" s="39"/>
      <c r="V42" s="39"/>
      <c r="W42" s="34"/>
      <c r="X42" s="32"/>
      <c r="Y42" s="34"/>
      <c r="Z42" s="40" t="str">
        <f aca="false">IF(OR(V42="",Y42=""),"",V42-Y42)</f>
        <v/>
      </c>
      <c r="AA42" s="41" t="str">
        <f aca="true">IF(V42="","",V42-TODAY())</f>
        <v/>
      </c>
      <c r="AB42" s="42" t="str">
        <f aca="false">IF(V42="","",IF(AA42&lt;0,"Past due",IF(AA42&lt;=90,"0–90 days",IF(AA42&lt;=180,"91–180 days",IF(AA42&lt;=365,"181–365 days","Over a year")))))</f>
        <v/>
      </c>
      <c r="AC42" s="43"/>
      <c r="AD42" s="32"/>
      <c r="AE42" s="32"/>
      <c r="AF42" s="33"/>
      <c r="AG42" s="32"/>
      <c r="AH42" s="33"/>
      <c r="AI42" s="32"/>
      <c r="AJ42" s="33"/>
      <c r="AK42" s="32"/>
      <c r="AL42" s="32"/>
      <c r="AM42" s="33"/>
      <c r="AN42" s="31" t="str">
        <f aca="false">IF(B42="","",IFERROR(INDEX(Lookup!$B$2:$B$3000,MATCH(TRIM(B42),Lookup!$A$2:$A$3000,0)),""))</f>
        <v/>
      </c>
      <c r="AO42" s="42" t="str">
        <f aca="false">IF(B42="","",IF(AN42="","No – will be reviewed","Yes"))</f>
        <v/>
      </c>
      <c r="AP42" s="31" t="str">
        <f aca="false">IF(AN42="","",IFERROR(INDEX(Catalog!$B$5:$B$400,MATCH(AN42,Catalog!$A$5:$A$400,0)),""))</f>
        <v/>
      </c>
      <c r="AQ42" s="31" t="str">
        <f aca="false">IF(AN42="","",IFERROR(INDEX(Catalog!$C$5:$C$400,MATCH(AN42,Catalog!$A$5:$A$400,0)),""))</f>
        <v/>
      </c>
      <c r="AR42" s="31" t="str">
        <f aca="false">IF(AN42="","",IFERROR(INDEX(Catalog!$D$5:$D$400,MATCH(AN42,Catalog!$A$5:$A$400,0)),""))</f>
        <v/>
      </c>
      <c r="AS42" s="31" t="str">
        <f aca="false">IF(AN42="","",IFERROR(INDEX(Catalog!$E$5:$E$400,MATCH(AN42,Catalog!$A$5:$A$400,0)),""))</f>
        <v/>
      </c>
      <c r="AT42" s="44" t="str">
        <f aca="false">IF(AN42="","",IFERROR(INDEX(Catalog!$F$5:$F$400,MATCH(AN42,Catalog!$A$5:$A$400,0)),""))</f>
        <v/>
      </c>
      <c r="AU42" s="31" t="str">
        <f aca="false">IF(AND(B42&lt;&gt;"",ISNUMBER(V42)),V42+ROW()/100000,"")</f>
        <v/>
      </c>
    </row>
    <row r="43" customFormat="false" ht="15" hidden="false" customHeight="false" outlineLevel="0" collapsed="false">
      <c r="A43" s="31" t="str">
        <f aca="false">IF(B43="","",ROW()-5)</f>
        <v/>
      </c>
      <c r="B43" s="32"/>
      <c r="C43" s="32"/>
      <c r="D43" s="32"/>
      <c r="E43" s="32"/>
      <c r="F43" s="32"/>
      <c r="G43" s="32"/>
      <c r="H43" s="33"/>
      <c r="I43" s="33"/>
      <c r="J43" s="32"/>
      <c r="K43" s="33"/>
      <c r="L43" s="32"/>
      <c r="M43" s="34"/>
      <c r="N43" s="34"/>
      <c r="O43" s="35" t="str">
        <f aca="false">IF(OR(M43="",N43="",M43=0),"",N43/M43)</f>
        <v/>
      </c>
      <c r="P43" s="36"/>
      <c r="Q43" s="37"/>
      <c r="R43" s="38" t="str">
        <f aca="false">IF(Q43&lt;&gt;"",Q43,IF(AND(P43&lt;&gt;"",M43&lt;&gt;""),P43*12*M43,""))</f>
        <v/>
      </c>
      <c r="S43" s="32"/>
      <c r="T43" s="32"/>
      <c r="U43" s="39"/>
      <c r="V43" s="39"/>
      <c r="W43" s="34"/>
      <c r="X43" s="32"/>
      <c r="Y43" s="34"/>
      <c r="Z43" s="40" t="str">
        <f aca="false">IF(OR(V43="",Y43=""),"",V43-Y43)</f>
        <v/>
      </c>
      <c r="AA43" s="41" t="str">
        <f aca="true">IF(V43="","",V43-TODAY())</f>
        <v/>
      </c>
      <c r="AB43" s="42" t="str">
        <f aca="false">IF(V43="","",IF(AA43&lt;0,"Past due",IF(AA43&lt;=90,"0–90 days",IF(AA43&lt;=180,"91–180 days",IF(AA43&lt;=365,"181–365 days","Over a year")))))</f>
        <v/>
      </c>
      <c r="AC43" s="43"/>
      <c r="AD43" s="32"/>
      <c r="AE43" s="32"/>
      <c r="AF43" s="33"/>
      <c r="AG43" s="32"/>
      <c r="AH43" s="33"/>
      <c r="AI43" s="32"/>
      <c r="AJ43" s="33"/>
      <c r="AK43" s="32"/>
      <c r="AL43" s="32"/>
      <c r="AM43" s="33"/>
      <c r="AN43" s="31" t="str">
        <f aca="false">IF(B43="","",IFERROR(INDEX(Lookup!$B$2:$B$3000,MATCH(TRIM(B43),Lookup!$A$2:$A$3000,0)),""))</f>
        <v/>
      </c>
      <c r="AO43" s="42" t="str">
        <f aca="false">IF(B43="","",IF(AN43="","No – will be reviewed","Yes"))</f>
        <v/>
      </c>
      <c r="AP43" s="31" t="str">
        <f aca="false">IF(AN43="","",IFERROR(INDEX(Catalog!$B$5:$B$400,MATCH(AN43,Catalog!$A$5:$A$400,0)),""))</f>
        <v/>
      </c>
      <c r="AQ43" s="31" t="str">
        <f aca="false">IF(AN43="","",IFERROR(INDEX(Catalog!$C$5:$C$400,MATCH(AN43,Catalog!$A$5:$A$400,0)),""))</f>
        <v/>
      </c>
      <c r="AR43" s="31" t="str">
        <f aca="false">IF(AN43="","",IFERROR(INDEX(Catalog!$D$5:$D$400,MATCH(AN43,Catalog!$A$5:$A$400,0)),""))</f>
        <v/>
      </c>
      <c r="AS43" s="31" t="str">
        <f aca="false">IF(AN43="","",IFERROR(INDEX(Catalog!$E$5:$E$400,MATCH(AN43,Catalog!$A$5:$A$400,0)),""))</f>
        <v/>
      </c>
      <c r="AT43" s="44" t="str">
        <f aca="false">IF(AN43="","",IFERROR(INDEX(Catalog!$F$5:$F$400,MATCH(AN43,Catalog!$A$5:$A$400,0)),""))</f>
        <v/>
      </c>
      <c r="AU43" s="31" t="str">
        <f aca="false">IF(AND(B43&lt;&gt;"",ISNUMBER(V43)),V43+ROW()/100000,"")</f>
        <v/>
      </c>
    </row>
    <row r="44" customFormat="false" ht="15" hidden="false" customHeight="false" outlineLevel="0" collapsed="false">
      <c r="A44" s="31" t="str">
        <f aca="false">IF(B44="","",ROW()-5)</f>
        <v/>
      </c>
      <c r="B44" s="32"/>
      <c r="C44" s="32"/>
      <c r="D44" s="32"/>
      <c r="E44" s="32"/>
      <c r="F44" s="32"/>
      <c r="G44" s="32"/>
      <c r="H44" s="33"/>
      <c r="I44" s="33"/>
      <c r="J44" s="32"/>
      <c r="K44" s="33"/>
      <c r="L44" s="32"/>
      <c r="M44" s="34"/>
      <c r="N44" s="34"/>
      <c r="O44" s="35" t="str">
        <f aca="false">IF(OR(M44="",N44="",M44=0),"",N44/M44)</f>
        <v/>
      </c>
      <c r="P44" s="36"/>
      <c r="Q44" s="37"/>
      <c r="R44" s="38" t="str">
        <f aca="false">IF(Q44&lt;&gt;"",Q44,IF(AND(P44&lt;&gt;"",M44&lt;&gt;""),P44*12*M44,""))</f>
        <v/>
      </c>
      <c r="S44" s="32"/>
      <c r="T44" s="32"/>
      <c r="U44" s="39"/>
      <c r="V44" s="39"/>
      <c r="W44" s="34"/>
      <c r="X44" s="32"/>
      <c r="Y44" s="34"/>
      <c r="Z44" s="40" t="str">
        <f aca="false">IF(OR(V44="",Y44=""),"",V44-Y44)</f>
        <v/>
      </c>
      <c r="AA44" s="41" t="str">
        <f aca="true">IF(V44="","",V44-TODAY())</f>
        <v/>
      </c>
      <c r="AB44" s="42" t="str">
        <f aca="false">IF(V44="","",IF(AA44&lt;0,"Past due",IF(AA44&lt;=90,"0–90 days",IF(AA44&lt;=180,"91–180 days",IF(AA44&lt;=365,"181–365 days","Over a year")))))</f>
        <v/>
      </c>
      <c r="AC44" s="43"/>
      <c r="AD44" s="32"/>
      <c r="AE44" s="32"/>
      <c r="AF44" s="33"/>
      <c r="AG44" s="32"/>
      <c r="AH44" s="33"/>
      <c r="AI44" s="32"/>
      <c r="AJ44" s="33"/>
      <c r="AK44" s="32"/>
      <c r="AL44" s="32"/>
      <c r="AM44" s="33"/>
      <c r="AN44" s="31" t="str">
        <f aca="false">IF(B44="","",IFERROR(INDEX(Lookup!$B$2:$B$3000,MATCH(TRIM(B44),Lookup!$A$2:$A$3000,0)),""))</f>
        <v/>
      </c>
      <c r="AO44" s="42" t="str">
        <f aca="false">IF(B44="","",IF(AN44="","No – will be reviewed","Yes"))</f>
        <v/>
      </c>
      <c r="AP44" s="31" t="str">
        <f aca="false">IF(AN44="","",IFERROR(INDEX(Catalog!$B$5:$B$400,MATCH(AN44,Catalog!$A$5:$A$400,0)),""))</f>
        <v/>
      </c>
      <c r="AQ44" s="31" t="str">
        <f aca="false">IF(AN44="","",IFERROR(INDEX(Catalog!$C$5:$C$400,MATCH(AN44,Catalog!$A$5:$A$400,0)),""))</f>
        <v/>
      </c>
      <c r="AR44" s="31" t="str">
        <f aca="false">IF(AN44="","",IFERROR(INDEX(Catalog!$D$5:$D$400,MATCH(AN44,Catalog!$A$5:$A$400,0)),""))</f>
        <v/>
      </c>
      <c r="AS44" s="31" t="str">
        <f aca="false">IF(AN44="","",IFERROR(INDEX(Catalog!$E$5:$E$400,MATCH(AN44,Catalog!$A$5:$A$400,0)),""))</f>
        <v/>
      </c>
      <c r="AT44" s="44" t="str">
        <f aca="false">IF(AN44="","",IFERROR(INDEX(Catalog!$F$5:$F$400,MATCH(AN44,Catalog!$A$5:$A$400,0)),""))</f>
        <v/>
      </c>
      <c r="AU44" s="31" t="str">
        <f aca="false">IF(AND(B44&lt;&gt;"",ISNUMBER(V44)),V44+ROW()/100000,"")</f>
        <v/>
      </c>
    </row>
    <row r="45" customFormat="false" ht="15" hidden="false" customHeight="false" outlineLevel="0" collapsed="false">
      <c r="A45" s="31" t="str">
        <f aca="false">IF(B45="","",ROW()-5)</f>
        <v/>
      </c>
      <c r="B45" s="32"/>
      <c r="C45" s="32"/>
      <c r="D45" s="32"/>
      <c r="E45" s="32"/>
      <c r="F45" s="32"/>
      <c r="G45" s="32"/>
      <c r="H45" s="33"/>
      <c r="I45" s="33"/>
      <c r="J45" s="32"/>
      <c r="K45" s="33"/>
      <c r="L45" s="32"/>
      <c r="M45" s="34"/>
      <c r="N45" s="34"/>
      <c r="O45" s="35" t="str">
        <f aca="false">IF(OR(M45="",N45="",M45=0),"",N45/M45)</f>
        <v/>
      </c>
      <c r="P45" s="36"/>
      <c r="Q45" s="37"/>
      <c r="R45" s="38" t="str">
        <f aca="false">IF(Q45&lt;&gt;"",Q45,IF(AND(P45&lt;&gt;"",M45&lt;&gt;""),P45*12*M45,""))</f>
        <v/>
      </c>
      <c r="S45" s="32"/>
      <c r="T45" s="32"/>
      <c r="U45" s="39"/>
      <c r="V45" s="39"/>
      <c r="W45" s="34"/>
      <c r="X45" s="32"/>
      <c r="Y45" s="34"/>
      <c r="Z45" s="40" t="str">
        <f aca="false">IF(OR(V45="",Y45=""),"",V45-Y45)</f>
        <v/>
      </c>
      <c r="AA45" s="41" t="str">
        <f aca="true">IF(V45="","",V45-TODAY())</f>
        <v/>
      </c>
      <c r="AB45" s="42" t="str">
        <f aca="false">IF(V45="","",IF(AA45&lt;0,"Past due",IF(AA45&lt;=90,"0–90 days",IF(AA45&lt;=180,"91–180 days",IF(AA45&lt;=365,"181–365 days","Over a year")))))</f>
        <v/>
      </c>
      <c r="AC45" s="43"/>
      <c r="AD45" s="32"/>
      <c r="AE45" s="32"/>
      <c r="AF45" s="33"/>
      <c r="AG45" s="32"/>
      <c r="AH45" s="33"/>
      <c r="AI45" s="32"/>
      <c r="AJ45" s="33"/>
      <c r="AK45" s="32"/>
      <c r="AL45" s="32"/>
      <c r="AM45" s="33"/>
      <c r="AN45" s="31" t="str">
        <f aca="false">IF(B45="","",IFERROR(INDEX(Lookup!$B$2:$B$3000,MATCH(TRIM(B45),Lookup!$A$2:$A$3000,0)),""))</f>
        <v/>
      </c>
      <c r="AO45" s="42" t="str">
        <f aca="false">IF(B45="","",IF(AN45="","No – will be reviewed","Yes"))</f>
        <v/>
      </c>
      <c r="AP45" s="31" t="str">
        <f aca="false">IF(AN45="","",IFERROR(INDEX(Catalog!$B$5:$B$400,MATCH(AN45,Catalog!$A$5:$A$400,0)),""))</f>
        <v/>
      </c>
      <c r="AQ45" s="31" t="str">
        <f aca="false">IF(AN45="","",IFERROR(INDEX(Catalog!$C$5:$C$400,MATCH(AN45,Catalog!$A$5:$A$400,0)),""))</f>
        <v/>
      </c>
      <c r="AR45" s="31" t="str">
        <f aca="false">IF(AN45="","",IFERROR(INDEX(Catalog!$D$5:$D$400,MATCH(AN45,Catalog!$A$5:$A$400,0)),""))</f>
        <v/>
      </c>
      <c r="AS45" s="31" t="str">
        <f aca="false">IF(AN45="","",IFERROR(INDEX(Catalog!$E$5:$E$400,MATCH(AN45,Catalog!$A$5:$A$400,0)),""))</f>
        <v/>
      </c>
      <c r="AT45" s="44" t="str">
        <f aca="false">IF(AN45="","",IFERROR(INDEX(Catalog!$F$5:$F$400,MATCH(AN45,Catalog!$A$5:$A$400,0)),""))</f>
        <v/>
      </c>
      <c r="AU45" s="31" t="str">
        <f aca="false">IF(AND(B45&lt;&gt;"",ISNUMBER(V45)),V45+ROW()/100000,"")</f>
        <v/>
      </c>
    </row>
    <row r="46" customFormat="false" ht="15" hidden="false" customHeight="false" outlineLevel="0" collapsed="false">
      <c r="A46" s="31" t="str">
        <f aca="false">IF(B46="","",ROW()-5)</f>
        <v/>
      </c>
      <c r="B46" s="32"/>
      <c r="C46" s="32"/>
      <c r="D46" s="32"/>
      <c r="E46" s="32"/>
      <c r="F46" s="32"/>
      <c r="G46" s="32"/>
      <c r="H46" s="33"/>
      <c r="I46" s="33"/>
      <c r="J46" s="32"/>
      <c r="K46" s="33"/>
      <c r="L46" s="32"/>
      <c r="M46" s="34"/>
      <c r="N46" s="34"/>
      <c r="O46" s="35" t="str">
        <f aca="false">IF(OR(M46="",N46="",M46=0),"",N46/M46)</f>
        <v/>
      </c>
      <c r="P46" s="36"/>
      <c r="Q46" s="37"/>
      <c r="R46" s="38" t="str">
        <f aca="false">IF(Q46&lt;&gt;"",Q46,IF(AND(P46&lt;&gt;"",M46&lt;&gt;""),P46*12*M46,""))</f>
        <v/>
      </c>
      <c r="S46" s="32"/>
      <c r="T46" s="32"/>
      <c r="U46" s="39"/>
      <c r="V46" s="39"/>
      <c r="W46" s="34"/>
      <c r="X46" s="32"/>
      <c r="Y46" s="34"/>
      <c r="Z46" s="40" t="str">
        <f aca="false">IF(OR(V46="",Y46=""),"",V46-Y46)</f>
        <v/>
      </c>
      <c r="AA46" s="41" t="str">
        <f aca="true">IF(V46="","",V46-TODAY())</f>
        <v/>
      </c>
      <c r="AB46" s="42" t="str">
        <f aca="false">IF(V46="","",IF(AA46&lt;0,"Past due",IF(AA46&lt;=90,"0–90 days",IF(AA46&lt;=180,"91–180 days",IF(AA46&lt;=365,"181–365 days","Over a year")))))</f>
        <v/>
      </c>
      <c r="AC46" s="43"/>
      <c r="AD46" s="32"/>
      <c r="AE46" s="32"/>
      <c r="AF46" s="33"/>
      <c r="AG46" s="32"/>
      <c r="AH46" s="33"/>
      <c r="AI46" s="32"/>
      <c r="AJ46" s="33"/>
      <c r="AK46" s="32"/>
      <c r="AL46" s="32"/>
      <c r="AM46" s="33"/>
      <c r="AN46" s="31" t="str">
        <f aca="false">IF(B46="","",IFERROR(INDEX(Lookup!$B$2:$B$3000,MATCH(TRIM(B46),Lookup!$A$2:$A$3000,0)),""))</f>
        <v/>
      </c>
      <c r="AO46" s="42" t="str">
        <f aca="false">IF(B46="","",IF(AN46="","No – will be reviewed","Yes"))</f>
        <v/>
      </c>
      <c r="AP46" s="31" t="str">
        <f aca="false">IF(AN46="","",IFERROR(INDEX(Catalog!$B$5:$B$400,MATCH(AN46,Catalog!$A$5:$A$400,0)),""))</f>
        <v/>
      </c>
      <c r="AQ46" s="31" t="str">
        <f aca="false">IF(AN46="","",IFERROR(INDEX(Catalog!$C$5:$C$400,MATCH(AN46,Catalog!$A$5:$A$400,0)),""))</f>
        <v/>
      </c>
      <c r="AR46" s="31" t="str">
        <f aca="false">IF(AN46="","",IFERROR(INDEX(Catalog!$D$5:$D$400,MATCH(AN46,Catalog!$A$5:$A$400,0)),""))</f>
        <v/>
      </c>
      <c r="AS46" s="31" t="str">
        <f aca="false">IF(AN46="","",IFERROR(INDEX(Catalog!$E$5:$E$400,MATCH(AN46,Catalog!$A$5:$A$400,0)),""))</f>
        <v/>
      </c>
      <c r="AT46" s="44" t="str">
        <f aca="false">IF(AN46="","",IFERROR(INDEX(Catalog!$F$5:$F$400,MATCH(AN46,Catalog!$A$5:$A$400,0)),""))</f>
        <v/>
      </c>
      <c r="AU46" s="31" t="str">
        <f aca="false">IF(AND(B46&lt;&gt;"",ISNUMBER(V46)),V46+ROW()/100000,"")</f>
        <v/>
      </c>
    </row>
    <row r="47" customFormat="false" ht="15" hidden="false" customHeight="false" outlineLevel="0" collapsed="false">
      <c r="A47" s="31" t="str">
        <f aca="false">IF(B47="","",ROW()-5)</f>
        <v/>
      </c>
      <c r="B47" s="32"/>
      <c r="C47" s="32"/>
      <c r="D47" s="32"/>
      <c r="E47" s="32"/>
      <c r="F47" s="32"/>
      <c r="G47" s="32"/>
      <c r="H47" s="33"/>
      <c r="I47" s="33"/>
      <c r="J47" s="32"/>
      <c r="K47" s="33"/>
      <c r="L47" s="32"/>
      <c r="M47" s="34"/>
      <c r="N47" s="34"/>
      <c r="O47" s="35" t="str">
        <f aca="false">IF(OR(M47="",N47="",M47=0),"",N47/M47)</f>
        <v/>
      </c>
      <c r="P47" s="36"/>
      <c r="Q47" s="37"/>
      <c r="R47" s="38" t="str">
        <f aca="false">IF(Q47&lt;&gt;"",Q47,IF(AND(P47&lt;&gt;"",M47&lt;&gt;""),P47*12*M47,""))</f>
        <v/>
      </c>
      <c r="S47" s="32"/>
      <c r="T47" s="32"/>
      <c r="U47" s="39"/>
      <c r="V47" s="39"/>
      <c r="W47" s="34"/>
      <c r="X47" s="32"/>
      <c r="Y47" s="34"/>
      <c r="Z47" s="40" t="str">
        <f aca="false">IF(OR(V47="",Y47=""),"",V47-Y47)</f>
        <v/>
      </c>
      <c r="AA47" s="41" t="str">
        <f aca="true">IF(V47="","",V47-TODAY())</f>
        <v/>
      </c>
      <c r="AB47" s="42" t="str">
        <f aca="false">IF(V47="","",IF(AA47&lt;0,"Past due",IF(AA47&lt;=90,"0–90 days",IF(AA47&lt;=180,"91–180 days",IF(AA47&lt;=365,"181–365 days","Over a year")))))</f>
        <v/>
      </c>
      <c r="AC47" s="43"/>
      <c r="AD47" s="32"/>
      <c r="AE47" s="32"/>
      <c r="AF47" s="33"/>
      <c r="AG47" s="32"/>
      <c r="AH47" s="33"/>
      <c r="AI47" s="32"/>
      <c r="AJ47" s="33"/>
      <c r="AK47" s="32"/>
      <c r="AL47" s="32"/>
      <c r="AM47" s="33"/>
      <c r="AN47" s="31" t="str">
        <f aca="false">IF(B47="","",IFERROR(INDEX(Lookup!$B$2:$B$3000,MATCH(TRIM(B47),Lookup!$A$2:$A$3000,0)),""))</f>
        <v/>
      </c>
      <c r="AO47" s="42" t="str">
        <f aca="false">IF(B47="","",IF(AN47="","No – will be reviewed","Yes"))</f>
        <v/>
      </c>
      <c r="AP47" s="31" t="str">
        <f aca="false">IF(AN47="","",IFERROR(INDEX(Catalog!$B$5:$B$400,MATCH(AN47,Catalog!$A$5:$A$400,0)),""))</f>
        <v/>
      </c>
      <c r="AQ47" s="31" t="str">
        <f aca="false">IF(AN47="","",IFERROR(INDEX(Catalog!$C$5:$C$400,MATCH(AN47,Catalog!$A$5:$A$400,0)),""))</f>
        <v/>
      </c>
      <c r="AR47" s="31" t="str">
        <f aca="false">IF(AN47="","",IFERROR(INDEX(Catalog!$D$5:$D$400,MATCH(AN47,Catalog!$A$5:$A$400,0)),""))</f>
        <v/>
      </c>
      <c r="AS47" s="31" t="str">
        <f aca="false">IF(AN47="","",IFERROR(INDEX(Catalog!$E$5:$E$400,MATCH(AN47,Catalog!$A$5:$A$400,0)),""))</f>
        <v/>
      </c>
      <c r="AT47" s="44" t="str">
        <f aca="false">IF(AN47="","",IFERROR(INDEX(Catalog!$F$5:$F$400,MATCH(AN47,Catalog!$A$5:$A$400,0)),""))</f>
        <v/>
      </c>
      <c r="AU47" s="31" t="str">
        <f aca="false">IF(AND(B47&lt;&gt;"",ISNUMBER(V47)),V47+ROW()/100000,"")</f>
        <v/>
      </c>
    </row>
    <row r="48" customFormat="false" ht="15" hidden="false" customHeight="false" outlineLevel="0" collapsed="false">
      <c r="A48" s="31" t="str">
        <f aca="false">IF(B48="","",ROW()-5)</f>
        <v/>
      </c>
      <c r="B48" s="32"/>
      <c r="C48" s="32"/>
      <c r="D48" s="32"/>
      <c r="E48" s="32"/>
      <c r="F48" s="32"/>
      <c r="G48" s="32"/>
      <c r="H48" s="33"/>
      <c r="I48" s="33"/>
      <c r="J48" s="32"/>
      <c r="K48" s="33"/>
      <c r="L48" s="32"/>
      <c r="M48" s="34"/>
      <c r="N48" s="34"/>
      <c r="O48" s="35" t="str">
        <f aca="false">IF(OR(M48="",N48="",M48=0),"",N48/M48)</f>
        <v/>
      </c>
      <c r="P48" s="36"/>
      <c r="Q48" s="37"/>
      <c r="R48" s="38" t="str">
        <f aca="false">IF(Q48&lt;&gt;"",Q48,IF(AND(P48&lt;&gt;"",M48&lt;&gt;""),P48*12*M48,""))</f>
        <v/>
      </c>
      <c r="S48" s="32"/>
      <c r="T48" s="32"/>
      <c r="U48" s="39"/>
      <c r="V48" s="39"/>
      <c r="W48" s="34"/>
      <c r="X48" s="32"/>
      <c r="Y48" s="34"/>
      <c r="Z48" s="40" t="str">
        <f aca="false">IF(OR(V48="",Y48=""),"",V48-Y48)</f>
        <v/>
      </c>
      <c r="AA48" s="41" t="str">
        <f aca="true">IF(V48="","",V48-TODAY())</f>
        <v/>
      </c>
      <c r="AB48" s="42" t="str">
        <f aca="false">IF(V48="","",IF(AA48&lt;0,"Past due",IF(AA48&lt;=90,"0–90 days",IF(AA48&lt;=180,"91–180 days",IF(AA48&lt;=365,"181–365 days","Over a year")))))</f>
        <v/>
      </c>
      <c r="AC48" s="43"/>
      <c r="AD48" s="32"/>
      <c r="AE48" s="32"/>
      <c r="AF48" s="33"/>
      <c r="AG48" s="32"/>
      <c r="AH48" s="33"/>
      <c r="AI48" s="32"/>
      <c r="AJ48" s="33"/>
      <c r="AK48" s="32"/>
      <c r="AL48" s="32"/>
      <c r="AM48" s="33"/>
      <c r="AN48" s="31" t="str">
        <f aca="false">IF(B48="","",IFERROR(INDEX(Lookup!$B$2:$B$3000,MATCH(TRIM(B48),Lookup!$A$2:$A$3000,0)),""))</f>
        <v/>
      </c>
      <c r="AO48" s="42" t="str">
        <f aca="false">IF(B48="","",IF(AN48="","No – will be reviewed","Yes"))</f>
        <v/>
      </c>
      <c r="AP48" s="31" t="str">
        <f aca="false">IF(AN48="","",IFERROR(INDEX(Catalog!$B$5:$B$400,MATCH(AN48,Catalog!$A$5:$A$400,0)),""))</f>
        <v/>
      </c>
      <c r="AQ48" s="31" t="str">
        <f aca="false">IF(AN48="","",IFERROR(INDEX(Catalog!$C$5:$C$400,MATCH(AN48,Catalog!$A$5:$A$400,0)),""))</f>
        <v/>
      </c>
      <c r="AR48" s="31" t="str">
        <f aca="false">IF(AN48="","",IFERROR(INDEX(Catalog!$D$5:$D$400,MATCH(AN48,Catalog!$A$5:$A$400,0)),""))</f>
        <v/>
      </c>
      <c r="AS48" s="31" t="str">
        <f aca="false">IF(AN48="","",IFERROR(INDEX(Catalog!$E$5:$E$400,MATCH(AN48,Catalog!$A$5:$A$400,0)),""))</f>
        <v/>
      </c>
      <c r="AT48" s="44" t="str">
        <f aca="false">IF(AN48="","",IFERROR(INDEX(Catalog!$F$5:$F$400,MATCH(AN48,Catalog!$A$5:$A$400,0)),""))</f>
        <v/>
      </c>
      <c r="AU48" s="31" t="str">
        <f aca="false">IF(AND(B48&lt;&gt;"",ISNUMBER(V48)),V48+ROW()/100000,"")</f>
        <v/>
      </c>
    </row>
    <row r="49" customFormat="false" ht="15" hidden="false" customHeight="false" outlineLevel="0" collapsed="false">
      <c r="A49" s="31" t="str">
        <f aca="false">IF(B49="","",ROW()-5)</f>
        <v/>
      </c>
      <c r="B49" s="32"/>
      <c r="C49" s="32"/>
      <c r="D49" s="32"/>
      <c r="E49" s="32"/>
      <c r="F49" s="32"/>
      <c r="G49" s="32"/>
      <c r="H49" s="33"/>
      <c r="I49" s="33"/>
      <c r="J49" s="32"/>
      <c r="K49" s="33"/>
      <c r="L49" s="32"/>
      <c r="M49" s="34"/>
      <c r="N49" s="34"/>
      <c r="O49" s="35" t="str">
        <f aca="false">IF(OR(M49="",N49="",M49=0),"",N49/M49)</f>
        <v/>
      </c>
      <c r="P49" s="36"/>
      <c r="Q49" s="37"/>
      <c r="R49" s="38" t="str">
        <f aca="false">IF(Q49&lt;&gt;"",Q49,IF(AND(P49&lt;&gt;"",M49&lt;&gt;""),P49*12*M49,""))</f>
        <v/>
      </c>
      <c r="S49" s="32"/>
      <c r="T49" s="32"/>
      <c r="U49" s="39"/>
      <c r="V49" s="39"/>
      <c r="W49" s="34"/>
      <c r="X49" s="32"/>
      <c r="Y49" s="34"/>
      <c r="Z49" s="40" t="str">
        <f aca="false">IF(OR(V49="",Y49=""),"",V49-Y49)</f>
        <v/>
      </c>
      <c r="AA49" s="41" t="str">
        <f aca="true">IF(V49="","",V49-TODAY())</f>
        <v/>
      </c>
      <c r="AB49" s="42" t="str">
        <f aca="false">IF(V49="","",IF(AA49&lt;0,"Past due",IF(AA49&lt;=90,"0–90 days",IF(AA49&lt;=180,"91–180 days",IF(AA49&lt;=365,"181–365 days","Over a year")))))</f>
        <v/>
      </c>
      <c r="AC49" s="43"/>
      <c r="AD49" s="32"/>
      <c r="AE49" s="32"/>
      <c r="AF49" s="33"/>
      <c r="AG49" s="32"/>
      <c r="AH49" s="33"/>
      <c r="AI49" s="32"/>
      <c r="AJ49" s="33"/>
      <c r="AK49" s="32"/>
      <c r="AL49" s="32"/>
      <c r="AM49" s="33"/>
      <c r="AN49" s="31" t="str">
        <f aca="false">IF(B49="","",IFERROR(INDEX(Lookup!$B$2:$B$3000,MATCH(TRIM(B49),Lookup!$A$2:$A$3000,0)),""))</f>
        <v/>
      </c>
      <c r="AO49" s="42" t="str">
        <f aca="false">IF(B49="","",IF(AN49="","No – will be reviewed","Yes"))</f>
        <v/>
      </c>
      <c r="AP49" s="31" t="str">
        <f aca="false">IF(AN49="","",IFERROR(INDEX(Catalog!$B$5:$B$400,MATCH(AN49,Catalog!$A$5:$A$400,0)),""))</f>
        <v/>
      </c>
      <c r="AQ49" s="31" t="str">
        <f aca="false">IF(AN49="","",IFERROR(INDEX(Catalog!$C$5:$C$400,MATCH(AN49,Catalog!$A$5:$A$400,0)),""))</f>
        <v/>
      </c>
      <c r="AR49" s="31" t="str">
        <f aca="false">IF(AN49="","",IFERROR(INDEX(Catalog!$D$5:$D$400,MATCH(AN49,Catalog!$A$5:$A$400,0)),""))</f>
        <v/>
      </c>
      <c r="AS49" s="31" t="str">
        <f aca="false">IF(AN49="","",IFERROR(INDEX(Catalog!$E$5:$E$400,MATCH(AN49,Catalog!$A$5:$A$400,0)),""))</f>
        <v/>
      </c>
      <c r="AT49" s="44" t="str">
        <f aca="false">IF(AN49="","",IFERROR(INDEX(Catalog!$F$5:$F$400,MATCH(AN49,Catalog!$A$5:$A$400,0)),""))</f>
        <v/>
      </c>
      <c r="AU49" s="31" t="str">
        <f aca="false">IF(AND(B49&lt;&gt;"",ISNUMBER(V49)),V49+ROW()/100000,"")</f>
        <v/>
      </c>
    </row>
    <row r="50" customFormat="false" ht="15" hidden="false" customHeight="false" outlineLevel="0" collapsed="false">
      <c r="A50" s="31" t="str">
        <f aca="false">IF(B50="","",ROW()-5)</f>
        <v/>
      </c>
      <c r="B50" s="32"/>
      <c r="C50" s="32"/>
      <c r="D50" s="32"/>
      <c r="E50" s="32"/>
      <c r="F50" s="32"/>
      <c r="G50" s="32"/>
      <c r="H50" s="33"/>
      <c r="I50" s="33"/>
      <c r="J50" s="32"/>
      <c r="K50" s="33"/>
      <c r="L50" s="32"/>
      <c r="M50" s="34"/>
      <c r="N50" s="34"/>
      <c r="O50" s="35" t="str">
        <f aca="false">IF(OR(M50="",N50="",M50=0),"",N50/M50)</f>
        <v/>
      </c>
      <c r="P50" s="36"/>
      <c r="Q50" s="37"/>
      <c r="R50" s="38" t="str">
        <f aca="false">IF(Q50&lt;&gt;"",Q50,IF(AND(P50&lt;&gt;"",M50&lt;&gt;""),P50*12*M50,""))</f>
        <v/>
      </c>
      <c r="S50" s="32"/>
      <c r="T50" s="32"/>
      <c r="U50" s="39"/>
      <c r="V50" s="39"/>
      <c r="W50" s="34"/>
      <c r="X50" s="32"/>
      <c r="Y50" s="34"/>
      <c r="Z50" s="40" t="str">
        <f aca="false">IF(OR(V50="",Y50=""),"",V50-Y50)</f>
        <v/>
      </c>
      <c r="AA50" s="41" t="str">
        <f aca="true">IF(V50="","",V50-TODAY())</f>
        <v/>
      </c>
      <c r="AB50" s="42" t="str">
        <f aca="false">IF(V50="","",IF(AA50&lt;0,"Past due",IF(AA50&lt;=90,"0–90 days",IF(AA50&lt;=180,"91–180 days",IF(AA50&lt;=365,"181–365 days","Over a year")))))</f>
        <v/>
      </c>
      <c r="AC50" s="43"/>
      <c r="AD50" s="32"/>
      <c r="AE50" s="32"/>
      <c r="AF50" s="33"/>
      <c r="AG50" s="32"/>
      <c r="AH50" s="33"/>
      <c r="AI50" s="32"/>
      <c r="AJ50" s="33"/>
      <c r="AK50" s="32"/>
      <c r="AL50" s="32"/>
      <c r="AM50" s="33"/>
      <c r="AN50" s="31" t="str">
        <f aca="false">IF(B50="","",IFERROR(INDEX(Lookup!$B$2:$B$3000,MATCH(TRIM(B50),Lookup!$A$2:$A$3000,0)),""))</f>
        <v/>
      </c>
      <c r="AO50" s="42" t="str">
        <f aca="false">IF(B50="","",IF(AN50="","No – will be reviewed","Yes"))</f>
        <v/>
      </c>
      <c r="AP50" s="31" t="str">
        <f aca="false">IF(AN50="","",IFERROR(INDEX(Catalog!$B$5:$B$400,MATCH(AN50,Catalog!$A$5:$A$400,0)),""))</f>
        <v/>
      </c>
      <c r="AQ50" s="31" t="str">
        <f aca="false">IF(AN50="","",IFERROR(INDEX(Catalog!$C$5:$C$400,MATCH(AN50,Catalog!$A$5:$A$400,0)),""))</f>
        <v/>
      </c>
      <c r="AR50" s="31" t="str">
        <f aca="false">IF(AN50="","",IFERROR(INDEX(Catalog!$D$5:$D$400,MATCH(AN50,Catalog!$A$5:$A$400,0)),""))</f>
        <v/>
      </c>
      <c r="AS50" s="31" t="str">
        <f aca="false">IF(AN50="","",IFERROR(INDEX(Catalog!$E$5:$E$400,MATCH(AN50,Catalog!$A$5:$A$400,0)),""))</f>
        <v/>
      </c>
      <c r="AT50" s="44" t="str">
        <f aca="false">IF(AN50="","",IFERROR(INDEX(Catalog!$F$5:$F$400,MATCH(AN50,Catalog!$A$5:$A$400,0)),""))</f>
        <v/>
      </c>
      <c r="AU50" s="31" t="str">
        <f aca="false">IF(AND(B50&lt;&gt;"",ISNUMBER(V50)),V50+ROW()/100000,"")</f>
        <v/>
      </c>
    </row>
    <row r="51" customFormat="false" ht="15" hidden="false" customHeight="false" outlineLevel="0" collapsed="false">
      <c r="A51" s="31" t="str">
        <f aca="false">IF(B51="","",ROW()-5)</f>
        <v/>
      </c>
      <c r="B51" s="32"/>
      <c r="C51" s="32"/>
      <c r="D51" s="32"/>
      <c r="E51" s="32"/>
      <c r="F51" s="32"/>
      <c r="G51" s="32"/>
      <c r="H51" s="33"/>
      <c r="I51" s="33"/>
      <c r="J51" s="32"/>
      <c r="K51" s="33"/>
      <c r="L51" s="32"/>
      <c r="M51" s="34"/>
      <c r="N51" s="34"/>
      <c r="O51" s="35" t="str">
        <f aca="false">IF(OR(M51="",N51="",M51=0),"",N51/M51)</f>
        <v/>
      </c>
      <c r="P51" s="36"/>
      <c r="Q51" s="37"/>
      <c r="R51" s="38" t="str">
        <f aca="false">IF(Q51&lt;&gt;"",Q51,IF(AND(P51&lt;&gt;"",M51&lt;&gt;""),P51*12*M51,""))</f>
        <v/>
      </c>
      <c r="S51" s="32"/>
      <c r="T51" s="32"/>
      <c r="U51" s="39"/>
      <c r="V51" s="39"/>
      <c r="W51" s="34"/>
      <c r="X51" s="32"/>
      <c r="Y51" s="34"/>
      <c r="Z51" s="40" t="str">
        <f aca="false">IF(OR(V51="",Y51=""),"",V51-Y51)</f>
        <v/>
      </c>
      <c r="AA51" s="41" t="str">
        <f aca="true">IF(V51="","",V51-TODAY())</f>
        <v/>
      </c>
      <c r="AB51" s="42" t="str">
        <f aca="false">IF(V51="","",IF(AA51&lt;0,"Past due",IF(AA51&lt;=90,"0–90 days",IF(AA51&lt;=180,"91–180 days",IF(AA51&lt;=365,"181–365 days","Over a year")))))</f>
        <v/>
      </c>
      <c r="AC51" s="43"/>
      <c r="AD51" s="32"/>
      <c r="AE51" s="32"/>
      <c r="AF51" s="33"/>
      <c r="AG51" s="32"/>
      <c r="AH51" s="33"/>
      <c r="AI51" s="32"/>
      <c r="AJ51" s="33"/>
      <c r="AK51" s="32"/>
      <c r="AL51" s="32"/>
      <c r="AM51" s="33"/>
      <c r="AN51" s="31" t="str">
        <f aca="false">IF(B51="","",IFERROR(INDEX(Lookup!$B$2:$B$3000,MATCH(TRIM(B51),Lookup!$A$2:$A$3000,0)),""))</f>
        <v/>
      </c>
      <c r="AO51" s="42" t="str">
        <f aca="false">IF(B51="","",IF(AN51="","No – will be reviewed","Yes"))</f>
        <v/>
      </c>
      <c r="AP51" s="31" t="str">
        <f aca="false">IF(AN51="","",IFERROR(INDEX(Catalog!$B$5:$B$400,MATCH(AN51,Catalog!$A$5:$A$400,0)),""))</f>
        <v/>
      </c>
      <c r="AQ51" s="31" t="str">
        <f aca="false">IF(AN51="","",IFERROR(INDEX(Catalog!$C$5:$C$400,MATCH(AN51,Catalog!$A$5:$A$400,0)),""))</f>
        <v/>
      </c>
      <c r="AR51" s="31" t="str">
        <f aca="false">IF(AN51="","",IFERROR(INDEX(Catalog!$D$5:$D$400,MATCH(AN51,Catalog!$A$5:$A$400,0)),""))</f>
        <v/>
      </c>
      <c r="AS51" s="31" t="str">
        <f aca="false">IF(AN51="","",IFERROR(INDEX(Catalog!$E$5:$E$400,MATCH(AN51,Catalog!$A$5:$A$400,0)),""))</f>
        <v/>
      </c>
      <c r="AT51" s="44" t="str">
        <f aca="false">IF(AN51="","",IFERROR(INDEX(Catalog!$F$5:$F$400,MATCH(AN51,Catalog!$A$5:$A$400,0)),""))</f>
        <v/>
      </c>
      <c r="AU51" s="31" t="str">
        <f aca="false">IF(AND(B51&lt;&gt;"",ISNUMBER(V51)),V51+ROW()/100000,"")</f>
        <v/>
      </c>
    </row>
    <row r="52" customFormat="false" ht="15" hidden="false" customHeight="false" outlineLevel="0" collapsed="false">
      <c r="A52" s="31" t="str">
        <f aca="false">IF(B52="","",ROW()-5)</f>
        <v/>
      </c>
      <c r="B52" s="32"/>
      <c r="C52" s="32"/>
      <c r="D52" s="32"/>
      <c r="E52" s="32"/>
      <c r="F52" s="32"/>
      <c r="G52" s="32"/>
      <c r="H52" s="33"/>
      <c r="I52" s="33"/>
      <c r="J52" s="32"/>
      <c r="K52" s="33"/>
      <c r="L52" s="32"/>
      <c r="M52" s="34"/>
      <c r="N52" s="34"/>
      <c r="O52" s="35" t="str">
        <f aca="false">IF(OR(M52="",N52="",M52=0),"",N52/M52)</f>
        <v/>
      </c>
      <c r="P52" s="36"/>
      <c r="Q52" s="37"/>
      <c r="R52" s="38" t="str">
        <f aca="false">IF(Q52&lt;&gt;"",Q52,IF(AND(P52&lt;&gt;"",M52&lt;&gt;""),P52*12*M52,""))</f>
        <v/>
      </c>
      <c r="S52" s="32"/>
      <c r="T52" s="32"/>
      <c r="U52" s="39"/>
      <c r="V52" s="39"/>
      <c r="W52" s="34"/>
      <c r="X52" s="32"/>
      <c r="Y52" s="34"/>
      <c r="Z52" s="40" t="str">
        <f aca="false">IF(OR(V52="",Y52=""),"",V52-Y52)</f>
        <v/>
      </c>
      <c r="AA52" s="41" t="str">
        <f aca="true">IF(V52="","",V52-TODAY())</f>
        <v/>
      </c>
      <c r="AB52" s="42" t="str">
        <f aca="false">IF(V52="","",IF(AA52&lt;0,"Past due",IF(AA52&lt;=90,"0–90 days",IF(AA52&lt;=180,"91–180 days",IF(AA52&lt;=365,"181–365 days","Over a year")))))</f>
        <v/>
      </c>
      <c r="AC52" s="43"/>
      <c r="AD52" s="32"/>
      <c r="AE52" s="32"/>
      <c r="AF52" s="33"/>
      <c r="AG52" s="32"/>
      <c r="AH52" s="33"/>
      <c r="AI52" s="32"/>
      <c r="AJ52" s="33"/>
      <c r="AK52" s="32"/>
      <c r="AL52" s="32"/>
      <c r="AM52" s="33"/>
      <c r="AN52" s="31" t="str">
        <f aca="false">IF(B52="","",IFERROR(INDEX(Lookup!$B$2:$B$3000,MATCH(TRIM(B52),Lookup!$A$2:$A$3000,0)),""))</f>
        <v/>
      </c>
      <c r="AO52" s="42" t="str">
        <f aca="false">IF(B52="","",IF(AN52="","No – will be reviewed","Yes"))</f>
        <v/>
      </c>
      <c r="AP52" s="31" t="str">
        <f aca="false">IF(AN52="","",IFERROR(INDEX(Catalog!$B$5:$B$400,MATCH(AN52,Catalog!$A$5:$A$400,0)),""))</f>
        <v/>
      </c>
      <c r="AQ52" s="31" t="str">
        <f aca="false">IF(AN52="","",IFERROR(INDEX(Catalog!$C$5:$C$400,MATCH(AN52,Catalog!$A$5:$A$400,0)),""))</f>
        <v/>
      </c>
      <c r="AR52" s="31" t="str">
        <f aca="false">IF(AN52="","",IFERROR(INDEX(Catalog!$D$5:$D$400,MATCH(AN52,Catalog!$A$5:$A$400,0)),""))</f>
        <v/>
      </c>
      <c r="AS52" s="31" t="str">
        <f aca="false">IF(AN52="","",IFERROR(INDEX(Catalog!$E$5:$E$400,MATCH(AN52,Catalog!$A$5:$A$400,0)),""))</f>
        <v/>
      </c>
      <c r="AT52" s="44" t="str">
        <f aca="false">IF(AN52="","",IFERROR(INDEX(Catalog!$F$5:$F$400,MATCH(AN52,Catalog!$A$5:$A$400,0)),""))</f>
        <v/>
      </c>
      <c r="AU52" s="31" t="str">
        <f aca="false">IF(AND(B52&lt;&gt;"",ISNUMBER(V52)),V52+ROW()/100000,"")</f>
        <v/>
      </c>
    </row>
    <row r="53" customFormat="false" ht="15" hidden="false" customHeight="false" outlineLevel="0" collapsed="false">
      <c r="A53" s="31" t="str">
        <f aca="false">IF(B53="","",ROW()-5)</f>
        <v/>
      </c>
      <c r="B53" s="32"/>
      <c r="C53" s="32"/>
      <c r="D53" s="32"/>
      <c r="E53" s="32"/>
      <c r="F53" s="32"/>
      <c r="G53" s="32"/>
      <c r="H53" s="33"/>
      <c r="I53" s="33"/>
      <c r="J53" s="32"/>
      <c r="K53" s="33"/>
      <c r="L53" s="32"/>
      <c r="M53" s="34"/>
      <c r="N53" s="34"/>
      <c r="O53" s="35" t="str">
        <f aca="false">IF(OR(M53="",N53="",M53=0),"",N53/M53)</f>
        <v/>
      </c>
      <c r="P53" s="36"/>
      <c r="Q53" s="37"/>
      <c r="R53" s="38" t="str">
        <f aca="false">IF(Q53&lt;&gt;"",Q53,IF(AND(P53&lt;&gt;"",M53&lt;&gt;""),P53*12*M53,""))</f>
        <v/>
      </c>
      <c r="S53" s="32"/>
      <c r="T53" s="32"/>
      <c r="U53" s="39"/>
      <c r="V53" s="39"/>
      <c r="W53" s="34"/>
      <c r="X53" s="32"/>
      <c r="Y53" s="34"/>
      <c r="Z53" s="40" t="str">
        <f aca="false">IF(OR(V53="",Y53=""),"",V53-Y53)</f>
        <v/>
      </c>
      <c r="AA53" s="41" t="str">
        <f aca="true">IF(V53="","",V53-TODAY())</f>
        <v/>
      </c>
      <c r="AB53" s="42" t="str">
        <f aca="false">IF(V53="","",IF(AA53&lt;0,"Past due",IF(AA53&lt;=90,"0–90 days",IF(AA53&lt;=180,"91–180 days",IF(AA53&lt;=365,"181–365 days","Over a year")))))</f>
        <v/>
      </c>
      <c r="AC53" s="43"/>
      <c r="AD53" s="32"/>
      <c r="AE53" s="32"/>
      <c r="AF53" s="33"/>
      <c r="AG53" s="32"/>
      <c r="AH53" s="33"/>
      <c r="AI53" s="32"/>
      <c r="AJ53" s="33"/>
      <c r="AK53" s="32"/>
      <c r="AL53" s="32"/>
      <c r="AM53" s="33"/>
      <c r="AN53" s="31" t="str">
        <f aca="false">IF(B53="","",IFERROR(INDEX(Lookup!$B$2:$B$3000,MATCH(TRIM(B53),Lookup!$A$2:$A$3000,0)),""))</f>
        <v/>
      </c>
      <c r="AO53" s="42" t="str">
        <f aca="false">IF(B53="","",IF(AN53="","No – will be reviewed","Yes"))</f>
        <v/>
      </c>
      <c r="AP53" s="31" t="str">
        <f aca="false">IF(AN53="","",IFERROR(INDEX(Catalog!$B$5:$B$400,MATCH(AN53,Catalog!$A$5:$A$400,0)),""))</f>
        <v/>
      </c>
      <c r="AQ53" s="31" t="str">
        <f aca="false">IF(AN53="","",IFERROR(INDEX(Catalog!$C$5:$C$400,MATCH(AN53,Catalog!$A$5:$A$400,0)),""))</f>
        <v/>
      </c>
      <c r="AR53" s="31" t="str">
        <f aca="false">IF(AN53="","",IFERROR(INDEX(Catalog!$D$5:$D$400,MATCH(AN53,Catalog!$A$5:$A$400,0)),""))</f>
        <v/>
      </c>
      <c r="AS53" s="31" t="str">
        <f aca="false">IF(AN53="","",IFERROR(INDEX(Catalog!$E$5:$E$400,MATCH(AN53,Catalog!$A$5:$A$400,0)),""))</f>
        <v/>
      </c>
      <c r="AT53" s="44" t="str">
        <f aca="false">IF(AN53="","",IFERROR(INDEX(Catalog!$F$5:$F$400,MATCH(AN53,Catalog!$A$5:$A$400,0)),""))</f>
        <v/>
      </c>
      <c r="AU53" s="31" t="str">
        <f aca="false">IF(AND(B53&lt;&gt;"",ISNUMBER(V53)),V53+ROW()/100000,"")</f>
        <v/>
      </c>
    </row>
    <row r="54" customFormat="false" ht="15" hidden="false" customHeight="false" outlineLevel="0" collapsed="false">
      <c r="A54" s="31" t="str">
        <f aca="false">IF(B54="","",ROW()-5)</f>
        <v/>
      </c>
      <c r="B54" s="32"/>
      <c r="C54" s="32"/>
      <c r="D54" s="32"/>
      <c r="E54" s="32"/>
      <c r="F54" s="32"/>
      <c r="G54" s="32"/>
      <c r="H54" s="33"/>
      <c r="I54" s="33"/>
      <c r="J54" s="32"/>
      <c r="K54" s="33"/>
      <c r="L54" s="32"/>
      <c r="M54" s="34"/>
      <c r="N54" s="34"/>
      <c r="O54" s="35" t="str">
        <f aca="false">IF(OR(M54="",N54="",M54=0),"",N54/M54)</f>
        <v/>
      </c>
      <c r="P54" s="36"/>
      <c r="Q54" s="37"/>
      <c r="R54" s="38" t="str">
        <f aca="false">IF(Q54&lt;&gt;"",Q54,IF(AND(P54&lt;&gt;"",M54&lt;&gt;""),P54*12*M54,""))</f>
        <v/>
      </c>
      <c r="S54" s="32"/>
      <c r="T54" s="32"/>
      <c r="U54" s="39"/>
      <c r="V54" s="39"/>
      <c r="W54" s="34"/>
      <c r="X54" s="32"/>
      <c r="Y54" s="34"/>
      <c r="Z54" s="40" t="str">
        <f aca="false">IF(OR(V54="",Y54=""),"",V54-Y54)</f>
        <v/>
      </c>
      <c r="AA54" s="41" t="str">
        <f aca="true">IF(V54="","",V54-TODAY())</f>
        <v/>
      </c>
      <c r="AB54" s="42" t="str">
        <f aca="false">IF(V54="","",IF(AA54&lt;0,"Past due",IF(AA54&lt;=90,"0–90 days",IF(AA54&lt;=180,"91–180 days",IF(AA54&lt;=365,"181–365 days","Over a year")))))</f>
        <v/>
      </c>
      <c r="AC54" s="43"/>
      <c r="AD54" s="32"/>
      <c r="AE54" s="32"/>
      <c r="AF54" s="33"/>
      <c r="AG54" s="32"/>
      <c r="AH54" s="33"/>
      <c r="AI54" s="32"/>
      <c r="AJ54" s="33"/>
      <c r="AK54" s="32"/>
      <c r="AL54" s="32"/>
      <c r="AM54" s="33"/>
      <c r="AN54" s="31" t="str">
        <f aca="false">IF(B54="","",IFERROR(INDEX(Lookup!$B$2:$B$3000,MATCH(TRIM(B54),Lookup!$A$2:$A$3000,0)),""))</f>
        <v/>
      </c>
      <c r="AO54" s="42" t="str">
        <f aca="false">IF(B54="","",IF(AN54="","No – will be reviewed","Yes"))</f>
        <v/>
      </c>
      <c r="AP54" s="31" t="str">
        <f aca="false">IF(AN54="","",IFERROR(INDEX(Catalog!$B$5:$B$400,MATCH(AN54,Catalog!$A$5:$A$400,0)),""))</f>
        <v/>
      </c>
      <c r="AQ54" s="31" t="str">
        <f aca="false">IF(AN54="","",IFERROR(INDEX(Catalog!$C$5:$C$400,MATCH(AN54,Catalog!$A$5:$A$400,0)),""))</f>
        <v/>
      </c>
      <c r="AR54" s="31" t="str">
        <f aca="false">IF(AN54="","",IFERROR(INDEX(Catalog!$D$5:$D$400,MATCH(AN54,Catalog!$A$5:$A$400,0)),""))</f>
        <v/>
      </c>
      <c r="AS54" s="31" t="str">
        <f aca="false">IF(AN54="","",IFERROR(INDEX(Catalog!$E$5:$E$400,MATCH(AN54,Catalog!$A$5:$A$400,0)),""))</f>
        <v/>
      </c>
      <c r="AT54" s="44" t="str">
        <f aca="false">IF(AN54="","",IFERROR(INDEX(Catalog!$F$5:$F$400,MATCH(AN54,Catalog!$A$5:$A$400,0)),""))</f>
        <v/>
      </c>
      <c r="AU54" s="31" t="str">
        <f aca="false">IF(AND(B54&lt;&gt;"",ISNUMBER(V54)),V54+ROW()/100000,"")</f>
        <v/>
      </c>
    </row>
    <row r="55" customFormat="false" ht="15" hidden="false" customHeight="false" outlineLevel="0" collapsed="false">
      <c r="A55" s="31" t="str">
        <f aca="false">IF(B55="","",ROW()-5)</f>
        <v/>
      </c>
      <c r="B55" s="32"/>
      <c r="C55" s="32"/>
      <c r="D55" s="32"/>
      <c r="E55" s="32"/>
      <c r="F55" s="32"/>
      <c r="G55" s="32"/>
      <c r="H55" s="33"/>
      <c r="I55" s="33"/>
      <c r="J55" s="32"/>
      <c r="K55" s="33"/>
      <c r="L55" s="32"/>
      <c r="M55" s="34"/>
      <c r="N55" s="34"/>
      <c r="O55" s="35" t="str">
        <f aca="false">IF(OR(M55="",N55="",M55=0),"",N55/M55)</f>
        <v/>
      </c>
      <c r="P55" s="36"/>
      <c r="Q55" s="37"/>
      <c r="R55" s="38" t="str">
        <f aca="false">IF(Q55&lt;&gt;"",Q55,IF(AND(P55&lt;&gt;"",M55&lt;&gt;""),P55*12*M55,""))</f>
        <v/>
      </c>
      <c r="S55" s="32"/>
      <c r="T55" s="32"/>
      <c r="U55" s="39"/>
      <c r="V55" s="39"/>
      <c r="W55" s="34"/>
      <c r="X55" s="32"/>
      <c r="Y55" s="34"/>
      <c r="Z55" s="40" t="str">
        <f aca="false">IF(OR(V55="",Y55=""),"",V55-Y55)</f>
        <v/>
      </c>
      <c r="AA55" s="41" t="str">
        <f aca="true">IF(V55="","",V55-TODAY())</f>
        <v/>
      </c>
      <c r="AB55" s="42" t="str">
        <f aca="false">IF(V55="","",IF(AA55&lt;0,"Past due",IF(AA55&lt;=90,"0–90 days",IF(AA55&lt;=180,"91–180 days",IF(AA55&lt;=365,"181–365 days","Over a year")))))</f>
        <v/>
      </c>
      <c r="AC55" s="43"/>
      <c r="AD55" s="32"/>
      <c r="AE55" s="32"/>
      <c r="AF55" s="33"/>
      <c r="AG55" s="32"/>
      <c r="AH55" s="33"/>
      <c r="AI55" s="32"/>
      <c r="AJ55" s="33"/>
      <c r="AK55" s="32"/>
      <c r="AL55" s="32"/>
      <c r="AM55" s="33"/>
      <c r="AN55" s="31" t="str">
        <f aca="false">IF(B55="","",IFERROR(INDEX(Lookup!$B$2:$B$3000,MATCH(TRIM(B55),Lookup!$A$2:$A$3000,0)),""))</f>
        <v/>
      </c>
      <c r="AO55" s="42" t="str">
        <f aca="false">IF(B55="","",IF(AN55="","No – will be reviewed","Yes"))</f>
        <v/>
      </c>
      <c r="AP55" s="31" t="str">
        <f aca="false">IF(AN55="","",IFERROR(INDEX(Catalog!$B$5:$B$400,MATCH(AN55,Catalog!$A$5:$A$400,0)),""))</f>
        <v/>
      </c>
      <c r="AQ55" s="31" t="str">
        <f aca="false">IF(AN55="","",IFERROR(INDEX(Catalog!$C$5:$C$400,MATCH(AN55,Catalog!$A$5:$A$400,0)),""))</f>
        <v/>
      </c>
      <c r="AR55" s="31" t="str">
        <f aca="false">IF(AN55="","",IFERROR(INDEX(Catalog!$D$5:$D$400,MATCH(AN55,Catalog!$A$5:$A$400,0)),""))</f>
        <v/>
      </c>
      <c r="AS55" s="31" t="str">
        <f aca="false">IF(AN55="","",IFERROR(INDEX(Catalog!$E$5:$E$400,MATCH(AN55,Catalog!$A$5:$A$400,0)),""))</f>
        <v/>
      </c>
      <c r="AT55" s="44" t="str">
        <f aca="false">IF(AN55="","",IFERROR(INDEX(Catalog!$F$5:$F$400,MATCH(AN55,Catalog!$A$5:$A$400,0)),""))</f>
        <v/>
      </c>
      <c r="AU55" s="31" t="str">
        <f aca="false">IF(AND(B55&lt;&gt;"",ISNUMBER(V55)),V55+ROW()/100000,"")</f>
        <v/>
      </c>
    </row>
    <row r="56" customFormat="false" ht="15" hidden="false" customHeight="false" outlineLevel="0" collapsed="false">
      <c r="A56" s="31" t="str">
        <f aca="false">IF(B56="","",ROW()-5)</f>
        <v/>
      </c>
      <c r="B56" s="32"/>
      <c r="C56" s="32"/>
      <c r="D56" s="32"/>
      <c r="E56" s="32"/>
      <c r="F56" s="32"/>
      <c r="G56" s="32"/>
      <c r="H56" s="33"/>
      <c r="I56" s="33"/>
      <c r="J56" s="32"/>
      <c r="K56" s="33"/>
      <c r="L56" s="32"/>
      <c r="M56" s="34"/>
      <c r="N56" s="34"/>
      <c r="O56" s="35" t="str">
        <f aca="false">IF(OR(M56="",N56="",M56=0),"",N56/M56)</f>
        <v/>
      </c>
      <c r="P56" s="36"/>
      <c r="Q56" s="37"/>
      <c r="R56" s="38" t="str">
        <f aca="false">IF(Q56&lt;&gt;"",Q56,IF(AND(P56&lt;&gt;"",M56&lt;&gt;""),P56*12*M56,""))</f>
        <v/>
      </c>
      <c r="S56" s="32"/>
      <c r="T56" s="32"/>
      <c r="U56" s="39"/>
      <c r="V56" s="39"/>
      <c r="W56" s="34"/>
      <c r="X56" s="32"/>
      <c r="Y56" s="34"/>
      <c r="Z56" s="40" t="str">
        <f aca="false">IF(OR(V56="",Y56=""),"",V56-Y56)</f>
        <v/>
      </c>
      <c r="AA56" s="41" t="str">
        <f aca="true">IF(V56="","",V56-TODAY())</f>
        <v/>
      </c>
      <c r="AB56" s="42" t="str">
        <f aca="false">IF(V56="","",IF(AA56&lt;0,"Past due",IF(AA56&lt;=90,"0–90 days",IF(AA56&lt;=180,"91–180 days",IF(AA56&lt;=365,"181–365 days","Over a year")))))</f>
        <v/>
      </c>
      <c r="AC56" s="43"/>
      <c r="AD56" s="32"/>
      <c r="AE56" s="32"/>
      <c r="AF56" s="33"/>
      <c r="AG56" s="32"/>
      <c r="AH56" s="33"/>
      <c r="AI56" s="32"/>
      <c r="AJ56" s="33"/>
      <c r="AK56" s="32"/>
      <c r="AL56" s="32"/>
      <c r="AM56" s="33"/>
      <c r="AN56" s="31" t="str">
        <f aca="false">IF(B56="","",IFERROR(INDEX(Lookup!$B$2:$B$3000,MATCH(TRIM(B56),Lookup!$A$2:$A$3000,0)),""))</f>
        <v/>
      </c>
      <c r="AO56" s="42" t="str">
        <f aca="false">IF(B56="","",IF(AN56="","No – will be reviewed","Yes"))</f>
        <v/>
      </c>
      <c r="AP56" s="31" t="str">
        <f aca="false">IF(AN56="","",IFERROR(INDEX(Catalog!$B$5:$B$400,MATCH(AN56,Catalog!$A$5:$A$400,0)),""))</f>
        <v/>
      </c>
      <c r="AQ56" s="31" t="str">
        <f aca="false">IF(AN56="","",IFERROR(INDEX(Catalog!$C$5:$C$400,MATCH(AN56,Catalog!$A$5:$A$400,0)),""))</f>
        <v/>
      </c>
      <c r="AR56" s="31" t="str">
        <f aca="false">IF(AN56="","",IFERROR(INDEX(Catalog!$D$5:$D$400,MATCH(AN56,Catalog!$A$5:$A$400,0)),""))</f>
        <v/>
      </c>
      <c r="AS56" s="31" t="str">
        <f aca="false">IF(AN56="","",IFERROR(INDEX(Catalog!$E$5:$E$400,MATCH(AN56,Catalog!$A$5:$A$400,0)),""))</f>
        <v/>
      </c>
      <c r="AT56" s="44" t="str">
        <f aca="false">IF(AN56="","",IFERROR(INDEX(Catalog!$F$5:$F$400,MATCH(AN56,Catalog!$A$5:$A$400,0)),""))</f>
        <v/>
      </c>
      <c r="AU56" s="31" t="str">
        <f aca="false">IF(AND(B56&lt;&gt;"",ISNUMBER(V56)),V56+ROW()/100000,"")</f>
        <v/>
      </c>
    </row>
    <row r="57" customFormat="false" ht="15" hidden="false" customHeight="false" outlineLevel="0" collapsed="false">
      <c r="A57" s="31" t="str">
        <f aca="false">IF(B57="","",ROW()-5)</f>
        <v/>
      </c>
      <c r="B57" s="32"/>
      <c r="C57" s="32"/>
      <c r="D57" s="32"/>
      <c r="E57" s="32"/>
      <c r="F57" s="32"/>
      <c r="G57" s="32"/>
      <c r="H57" s="33"/>
      <c r="I57" s="33"/>
      <c r="J57" s="32"/>
      <c r="K57" s="33"/>
      <c r="L57" s="32"/>
      <c r="M57" s="34"/>
      <c r="N57" s="34"/>
      <c r="O57" s="35" t="str">
        <f aca="false">IF(OR(M57="",N57="",M57=0),"",N57/M57)</f>
        <v/>
      </c>
      <c r="P57" s="36"/>
      <c r="Q57" s="37"/>
      <c r="R57" s="38" t="str">
        <f aca="false">IF(Q57&lt;&gt;"",Q57,IF(AND(P57&lt;&gt;"",M57&lt;&gt;""),P57*12*M57,""))</f>
        <v/>
      </c>
      <c r="S57" s="32"/>
      <c r="T57" s="32"/>
      <c r="U57" s="39"/>
      <c r="V57" s="39"/>
      <c r="W57" s="34"/>
      <c r="X57" s="32"/>
      <c r="Y57" s="34"/>
      <c r="Z57" s="40" t="str">
        <f aca="false">IF(OR(V57="",Y57=""),"",V57-Y57)</f>
        <v/>
      </c>
      <c r="AA57" s="41" t="str">
        <f aca="true">IF(V57="","",V57-TODAY())</f>
        <v/>
      </c>
      <c r="AB57" s="42" t="str">
        <f aca="false">IF(V57="","",IF(AA57&lt;0,"Past due",IF(AA57&lt;=90,"0–90 days",IF(AA57&lt;=180,"91–180 days",IF(AA57&lt;=365,"181–365 days","Over a year")))))</f>
        <v/>
      </c>
      <c r="AC57" s="43"/>
      <c r="AD57" s="32"/>
      <c r="AE57" s="32"/>
      <c r="AF57" s="33"/>
      <c r="AG57" s="32"/>
      <c r="AH57" s="33"/>
      <c r="AI57" s="32"/>
      <c r="AJ57" s="33"/>
      <c r="AK57" s="32"/>
      <c r="AL57" s="32"/>
      <c r="AM57" s="33"/>
      <c r="AN57" s="31" t="str">
        <f aca="false">IF(B57="","",IFERROR(INDEX(Lookup!$B$2:$B$3000,MATCH(TRIM(B57),Lookup!$A$2:$A$3000,0)),""))</f>
        <v/>
      </c>
      <c r="AO57" s="42" t="str">
        <f aca="false">IF(B57="","",IF(AN57="","No – will be reviewed","Yes"))</f>
        <v/>
      </c>
      <c r="AP57" s="31" t="str">
        <f aca="false">IF(AN57="","",IFERROR(INDEX(Catalog!$B$5:$B$400,MATCH(AN57,Catalog!$A$5:$A$400,0)),""))</f>
        <v/>
      </c>
      <c r="AQ57" s="31" t="str">
        <f aca="false">IF(AN57="","",IFERROR(INDEX(Catalog!$C$5:$C$400,MATCH(AN57,Catalog!$A$5:$A$400,0)),""))</f>
        <v/>
      </c>
      <c r="AR57" s="31" t="str">
        <f aca="false">IF(AN57="","",IFERROR(INDEX(Catalog!$D$5:$D$400,MATCH(AN57,Catalog!$A$5:$A$400,0)),""))</f>
        <v/>
      </c>
      <c r="AS57" s="31" t="str">
        <f aca="false">IF(AN57="","",IFERROR(INDEX(Catalog!$E$5:$E$400,MATCH(AN57,Catalog!$A$5:$A$400,0)),""))</f>
        <v/>
      </c>
      <c r="AT57" s="44" t="str">
        <f aca="false">IF(AN57="","",IFERROR(INDEX(Catalog!$F$5:$F$400,MATCH(AN57,Catalog!$A$5:$A$400,0)),""))</f>
        <v/>
      </c>
      <c r="AU57" s="31" t="str">
        <f aca="false">IF(AND(B57&lt;&gt;"",ISNUMBER(V57)),V57+ROW()/100000,"")</f>
        <v/>
      </c>
    </row>
    <row r="58" customFormat="false" ht="15" hidden="false" customHeight="false" outlineLevel="0" collapsed="false">
      <c r="A58" s="31" t="str">
        <f aca="false">IF(B58="","",ROW()-5)</f>
        <v/>
      </c>
      <c r="B58" s="32"/>
      <c r="C58" s="32"/>
      <c r="D58" s="32"/>
      <c r="E58" s="32"/>
      <c r="F58" s="32"/>
      <c r="G58" s="32"/>
      <c r="H58" s="33"/>
      <c r="I58" s="33"/>
      <c r="J58" s="32"/>
      <c r="K58" s="33"/>
      <c r="L58" s="32"/>
      <c r="M58" s="34"/>
      <c r="N58" s="34"/>
      <c r="O58" s="35" t="str">
        <f aca="false">IF(OR(M58="",N58="",M58=0),"",N58/M58)</f>
        <v/>
      </c>
      <c r="P58" s="36"/>
      <c r="Q58" s="37"/>
      <c r="R58" s="38" t="str">
        <f aca="false">IF(Q58&lt;&gt;"",Q58,IF(AND(P58&lt;&gt;"",M58&lt;&gt;""),P58*12*M58,""))</f>
        <v/>
      </c>
      <c r="S58" s="32"/>
      <c r="T58" s="32"/>
      <c r="U58" s="39"/>
      <c r="V58" s="39"/>
      <c r="W58" s="34"/>
      <c r="X58" s="32"/>
      <c r="Y58" s="34"/>
      <c r="Z58" s="40" t="str">
        <f aca="false">IF(OR(V58="",Y58=""),"",V58-Y58)</f>
        <v/>
      </c>
      <c r="AA58" s="41" t="str">
        <f aca="true">IF(V58="","",V58-TODAY())</f>
        <v/>
      </c>
      <c r="AB58" s="42" t="str">
        <f aca="false">IF(V58="","",IF(AA58&lt;0,"Past due",IF(AA58&lt;=90,"0–90 days",IF(AA58&lt;=180,"91–180 days",IF(AA58&lt;=365,"181–365 days","Over a year")))))</f>
        <v/>
      </c>
      <c r="AC58" s="43"/>
      <c r="AD58" s="32"/>
      <c r="AE58" s="32"/>
      <c r="AF58" s="33"/>
      <c r="AG58" s="32"/>
      <c r="AH58" s="33"/>
      <c r="AI58" s="32"/>
      <c r="AJ58" s="33"/>
      <c r="AK58" s="32"/>
      <c r="AL58" s="32"/>
      <c r="AM58" s="33"/>
      <c r="AN58" s="31" t="str">
        <f aca="false">IF(B58="","",IFERROR(INDEX(Lookup!$B$2:$B$3000,MATCH(TRIM(B58),Lookup!$A$2:$A$3000,0)),""))</f>
        <v/>
      </c>
      <c r="AO58" s="42" t="str">
        <f aca="false">IF(B58="","",IF(AN58="","No – will be reviewed","Yes"))</f>
        <v/>
      </c>
      <c r="AP58" s="31" t="str">
        <f aca="false">IF(AN58="","",IFERROR(INDEX(Catalog!$B$5:$B$400,MATCH(AN58,Catalog!$A$5:$A$400,0)),""))</f>
        <v/>
      </c>
      <c r="AQ58" s="31" t="str">
        <f aca="false">IF(AN58="","",IFERROR(INDEX(Catalog!$C$5:$C$400,MATCH(AN58,Catalog!$A$5:$A$400,0)),""))</f>
        <v/>
      </c>
      <c r="AR58" s="31" t="str">
        <f aca="false">IF(AN58="","",IFERROR(INDEX(Catalog!$D$5:$D$400,MATCH(AN58,Catalog!$A$5:$A$400,0)),""))</f>
        <v/>
      </c>
      <c r="AS58" s="31" t="str">
        <f aca="false">IF(AN58="","",IFERROR(INDEX(Catalog!$E$5:$E$400,MATCH(AN58,Catalog!$A$5:$A$400,0)),""))</f>
        <v/>
      </c>
      <c r="AT58" s="44" t="str">
        <f aca="false">IF(AN58="","",IFERROR(INDEX(Catalog!$F$5:$F$400,MATCH(AN58,Catalog!$A$5:$A$400,0)),""))</f>
        <v/>
      </c>
      <c r="AU58" s="31" t="str">
        <f aca="false">IF(AND(B58&lt;&gt;"",ISNUMBER(V58)),V58+ROW()/100000,"")</f>
        <v/>
      </c>
    </row>
    <row r="59" customFormat="false" ht="15" hidden="false" customHeight="false" outlineLevel="0" collapsed="false">
      <c r="A59" s="31" t="str">
        <f aca="false">IF(B59="","",ROW()-5)</f>
        <v/>
      </c>
      <c r="B59" s="32"/>
      <c r="C59" s="32"/>
      <c r="D59" s="32"/>
      <c r="E59" s="32"/>
      <c r="F59" s="32"/>
      <c r="G59" s="32"/>
      <c r="H59" s="33"/>
      <c r="I59" s="33"/>
      <c r="J59" s="32"/>
      <c r="K59" s="33"/>
      <c r="L59" s="32"/>
      <c r="M59" s="34"/>
      <c r="N59" s="34"/>
      <c r="O59" s="35" t="str">
        <f aca="false">IF(OR(M59="",N59="",M59=0),"",N59/M59)</f>
        <v/>
      </c>
      <c r="P59" s="36"/>
      <c r="Q59" s="37"/>
      <c r="R59" s="38" t="str">
        <f aca="false">IF(Q59&lt;&gt;"",Q59,IF(AND(P59&lt;&gt;"",M59&lt;&gt;""),P59*12*M59,""))</f>
        <v/>
      </c>
      <c r="S59" s="32"/>
      <c r="T59" s="32"/>
      <c r="U59" s="39"/>
      <c r="V59" s="39"/>
      <c r="W59" s="34"/>
      <c r="X59" s="32"/>
      <c r="Y59" s="34"/>
      <c r="Z59" s="40" t="str">
        <f aca="false">IF(OR(V59="",Y59=""),"",V59-Y59)</f>
        <v/>
      </c>
      <c r="AA59" s="41" t="str">
        <f aca="true">IF(V59="","",V59-TODAY())</f>
        <v/>
      </c>
      <c r="AB59" s="42" t="str">
        <f aca="false">IF(V59="","",IF(AA59&lt;0,"Past due",IF(AA59&lt;=90,"0–90 days",IF(AA59&lt;=180,"91–180 days",IF(AA59&lt;=365,"181–365 days","Over a year")))))</f>
        <v/>
      </c>
      <c r="AC59" s="43"/>
      <c r="AD59" s="32"/>
      <c r="AE59" s="32"/>
      <c r="AF59" s="33"/>
      <c r="AG59" s="32"/>
      <c r="AH59" s="33"/>
      <c r="AI59" s="32"/>
      <c r="AJ59" s="33"/>
      <c r="AK59" s="32"/>
      <c r="AL59" s="32"/>
      <c r="AM59" s="33"/>
      <c r="AN59" s="31" t="str">
        <f aca="false">IF(B59="","",IFERROR(INDEX(Lookup!$B$2:$B$3000,MATCH(TRIM(B59),Lookup!$A$2:$A$3000,0)),""))</f>
        <v/>
      </c>
      <c r="AO59" s="42" t="str">
        <f aca="false">IF(B59="","",IF(AN59="","No – will be reviewed","Yes"))</f>
        <v/>
      </c>
      <c r="AP59" s="31" t="str">
        <f aca="false">IF(AN59="","",IFERROR(INDEX(Catalog!$B$5:$B$400,MATCH(AN59,Catalog!$A$5:$A$400,0)),""))</f>
        <v/>
      </c>
      <c r="AQ59" s="31" t="str">
        <f aca="false">IF(AN59="","",IFERROR(INDEX(Catalog!$C$5:$C$400,MATCH(AN59,Catalog!$A$5:$A$400,0)),""))</f>
        <v/>
      </c>
      <c r="AR59" s="31" t="str">
        <f aca="false">IF(AN59="","",IFERROR(INDEX(Catalog!$D$5:$D$400,MATCH(AN59,Catalog!$A$5:$A$400,0)),""))</f>
        <v/>
      </c>
      <c r="AS59" s="31" t="str">
        <f aca="false">IF(AN59="","",IFERROR(INDEX(Catalog!$E$5:$E$400,MATCH(AN59,Catalog!$A$5:$A$400,0)),""))</f>
        <v/>
      </c>
      <c r="AT59" s="44" t="str">
        <f aca="false">IF(AN59="","",IFERROR(INDEX(Catalog!$F$5:$F$400,MATCH(AN59,Catalog!$A$5:$A$400,0)),""))</f>
        <v/>
      </c>
      <c r="AU59" s="31" t="str">
        <f aca="false">IF(AND(B59&lt;&gt;"",ISNUMBER(V59)),V59+ROW()/100000,"")</f>
        <v/>
      </c>
    </row>
    <row r="60" customFormat="false" ht="15" hidden="false" customHeight="false" outlineLevel="0" collapsed="false">
      <c r="A60" s="31" t="str">
        <f aca="false">IF(B60="","",ROW()-5)</f>
        <v/>
      </c>
      <c r="B60" s="32"/>
      <c r="C60" s="32"/>
      <c r="D60" s="32"/>
      <c r="E60" s="32"/>
      <c r="F60" s="32"/>
      <c r="G60" s="32"/>
      <c r="H60" s="33"/>
      <c r="I60" s="33"/>
      <c r="J60" s="32"/>
      <c r="K60" s="33"/>
      <c r="L60" s="32"/>
      <c r="M60" s="34"/>
      <c r="N60" s="34"/>
      <c r="O60" s="35" t="str">
        <f aca="false">IF(OR(M60="",N60="",M60=0),"",N60/M60)</f>
        <v/>
      </c>
      <c r="P60" s="36"/>
      <c r="Q60" s="37"/>
      <c r="R60" s="38" t="str">
        <f aca="false">IF(Q60&lt;&gt;"",Q60,IF(AND(P60&lt;&gt;"",M60&lt;&gt;""),P60*12*M60,""))</f>
        <v/>
      </c>
      <c r="S60" s="32"/>
      <c r="T60" s="32"/>
      <c r="U60" s="39"/>
      <c r="V60" s="39"/>
      <c r="W60" s="34"/>
      <c r="X60" s="32"/>
      <c r="Y60" s="34"/>
      <c r="Z60" s="40" t="str">
        <f aca="false">IF(OR(V60="",Y60=""),"",V60-Y60)</f>
        <v/>
      </c>
      <c r="AA60" s="41" t="str">
        <f aca="true">IF(V60="","",V60-TODAY())</f>
        <v/>
      </c>
      <c r="AB60" s="42" t="str">
        <f aca="false">IF(V60="","",IF(AA60&lt;0,"Past due",IF(AA60&lt;=90,"0–90 days",IF(AA60&lt;=180,"91–180 days",IF(AA60&lt;=365,"181–365 days","Over a year")))))</f>
        <v/>
      </c>
      <c r="AC60" s="43"/>
      <c r="AD60" s="32"/>
      <c r="AE60" s="32"/>
      <c r="AF60" s="33"/>
      <c r="AG60" s="32"/>
      <c r="AH60" s="33"/>
      <c r="AI60" s="32"/>
      <c r="AJ60" s="33"/>
      <c r="AK60" s="32"/>
      <c r="AL60" s="32"/>
      <c r="AM60" s="33"/>
      <c r="AN60" s="31" t="str">
        <f aca="false">IF(B60="","",IFERROR(INDEX(Lookup!$B$2:$B$3000,MATCH(TRIM(B60),Lookup!$A$2:$A$3000,0)),""))</f>
        <v/>
      </c>
      <c r="AO60" s="42" t="str">
        <f aca="false">IF(B60="","",IF(AN60="","No – will be reviewed","Yes"))</f>
        <v/>
      </c>
      <c r="AP60" s="31" t="str">
        <f aca="false">IF(AN60="","",IFERROR(INDEX(Catalog!$B$5:$B$400,MATCH(AN60,Catalog!$A$5:$A$400,0)),""))</f>
        <v/>
      </c>
      <c r="AQ60" s="31" t="str">
        <f aca="false">IF(AN60="","",IFERROR(INDEX(Catalog!$C$5:$C$400,MATCH(AN60,Catalog!$A$5:$A$400,0)),""))</f>
        <v/>
      </c>
      <c r="AR60" s="31" t="str">
        <f aca="false">IF(AN60="","",IFERROR(INDEX(Catalog!$D$5:$D$400,MATCH(AN60,Catalog!$A$5:$A$400,0)),""))</f>
        <v/>
      </c>
      <c r="AS60" s="31" t="str">
        <f aca="false">IF(AN60="","",IFERROR(INDEX(Catalog!$E$5:$E$400,MATCH(AN60,Catalog!$A$5:$A$400,0)),""))</f>
        <v/>
      </c>
      <c r="AT60" s="44" t="str">
        <f aca="false">IF(AN60="","",IFERROR(INDEX(Catalog!$F$5:$F$400,MATCH(AN60,Catalog!$A$5:$A$400,0)),""))</f>
        <v/>
      </c>
      <c r="AU60" s="31" t="str">
        <f aca="false">IF(AND(B60&lt;&gt;"",ISNUMBER(V60)),V60+ROW()/100000,"")</f>
        <v/>
      </c>
    </row>
    <row r="61" customFormat="false" ht="15" hidden="false" customHeight="false" outlineLevel="0" collapsed="false">
      <c r="A61" s="31" t="str">
        <f aca="false">IF(B61="","",ROW()-5)</f>
        <v/>
      </c>
      <c r="B61" s="32"/>
      <c r="C61" s="32"/>
      <c r="D61" s="32"/>
      <c r="E61" s="32"/>
      <c r="F61" s="32"/>
      <c r="G61" s="32"/>
      <c r="H61" s="33"/>
      <c r="I61" s="33"/>
      <c r="J61" s="32"/>
      <c r="K61" s="33"/>
      <c r="L61" s="32"/>
      <c r="M61" s="34"/>
      <c r="N61" s="34"/>
      <c r="O61" s="35" t="str">
        <f aca="false">IF(OR(M61="",N61="",M61=0),"",N61/M61)</f>
        <v/>
      </c>
      <c r="P61" s="36"/>
      <c r="Q61" s="37"/>
      <c r="R61" s="38" t="str">
        <f aca="false">IF(Q61&lt;&gt;"",Q61,IF(AND(P61&lt;&gt;"",M61&lt;&gt;""),P61*12*M61,""))</f>
        <v/>
      </c>
      <c r="S61" s="32"/>
      <c r="T61" s="32"/>
      <c r="U61" s="39"/>
      <c r="V61" s="39"/>
      <c r="W61" s="34"/>
      <c r="X61" s="32"/>
      <c r="Y61" s="34"/>
      <c r="Z61" s="40" t="str">
        <f aca="false">IF(OR(V61="",Y61=""),"",V61-Y61)</f>
        <v/>
      </c>
      <c r="AA61" s="41" t="str">
        <f aca="true">IF(V61="","",V61-TODAY())</f>
        <v/>
      </c>
      <c r="AB61" s="42" t="str">
        <f aca="false">IF(V61="","",IF(AA61&lt;0,"Past due",IF(AA61&lt;=90,"0–90 days",IF(AA61&lt;=180,"91–180 days",IF(AA61&lt;=365,"181–365 days","Over a year")))))</f>
        <v/>
      </c>
      <c r="AC61" s="43"/>
      <c r="AD61" s="32"/>
      <c r="AE61" s="32"/>
      <c r="AF61" s="33"/>
      <c r="AG61" s="32"/>
      <c r="AH61" s="33"/>
      <c r="AI61" s="32"/>
      <c r="AJ61" s="33"/>
      <c r="AK61" s="32"/>
      <c r="AL61" s="32"/>
      <c r="AM61" s="33"/>
      <c r="AN61" s="31" t="str">
        <f aca="false">IF(B61="","",IFERROR(INDEX(Lookup!$B$2:$B$3000,MATCH(TRIM(B61),Lookup!$A$2:$A$3000,0)),""))</f>
        <v/>
      </c>
      <c r="AO61" s="42" t="str">
        <f aca="false">IF(B61="","",IF(AN61="","No – will be reviewed","Yes"))</f>
        <v/>
      </c>
      <c r="AP61" s="31" t="str">
        <f aca="false">IF(AN61="","",IFERROR(INDEX(Catalog!$B$5:$B$400,MATCH(AN61,Catalog!$A$5:$A$400,0)),""))</f>
        <v/>
      </c>
      <c r="AQ61" s="31" t="str">
        <f aca="false">IF(AN61="","",IFERROR(INDEX(Catalog!$C$5:$C$400,MATCH(AN61,Catalog!$A$5:$A$400,0)),""))</f>
        <v/>
      </c>
      <c r="AR61" s="31" t="str">
        <f aca="false">IF(AN61="","",IFERROR(INDEX(Catalog!$D$5:$D$400,MATCH(AN61,Catalog!$A$5:$A$400,0)),""))</f>
        <v/>
      </c>
      <c r="AS61" s="31" t="str">
        <f aca="false">IF(AN61="","",IFERROR(INDEX(Catalog!$E$5:$E$400,MATCH(AN61,Catalog!$A$5:$A$400,0)),""))</f>
        <v/>
      </c>
      <c r="AT61" s="44" t="str">
        <f aca="false">IF(AN61="","",IFERROR(INDEX(Catalog!$F$5:$F$400,MATCH(AN61,Catalog!$A$5:$A$400,0)),""))</f>
        <v/>
      </c>
      <c r="AU61" s="31" t="str">
        <f aca="false">IF(AND(B61&lt;&gt;"",ISNUMBER(V61)),V61+ROW()/100000,"")</f>
        <v/>
      </c>
    </row>
    <row r="62" customFormat="false" ht="15" hidden="false" customHeight="false" outlineLevel="0" collapsed="false">
      <c r="A62" s="31" t="str">
        <f aca="false">IF(B62="","",ROW()-5)</f>
        <v/>
      </c>
      <c r="B62" s="32"/>
      <c r="C62" s="32"/>
      <c r="D62" s="32"/>
      <c r="E62" s="32"/>
      <c r="F62" s="32"/>
      <c r="G62" s="32"/>
      <c r="H62" s="33"/>
      <c r="I62" s="33"/>
      <c r="J62" s="32"/>
      <c r="K62" s="33"/>
      <c r="L62" s="32"/>
      <c r="M62" s="34"/>
      <c r="N62" s="34"/>
      <c r="O62" s="35" t="str">
        <f aca="false">IF(OR(M62="",N62="",M62=0),"",N62/M62)</f>
        <v/>
      </c>
      <c r="P62" s="36"/>
      <c r="Q62" s="37"/>
      <c r="R62" s="38" t="str">
        <f aca="false">IF(Q62&lt;&gt;"",Q62,IF(AND(P62&lt;&gt;"",M62&lt;&gt;""),P62*12*M62,""))</f>
        <v/>
      </c>
      <c r="S62" s="32"/>
      <c r="T62" s="32"/>
      <c r="U62" s="39"/>
      <c r="V62" s="39"/>
      <c r="W62" s="34"/>
      <c r="X62" s="32"/>
      <c r="Y62" s="34"/>
      <c r="Z62" s="40" t="str">
        <f aca="false">IF(OR(V62="",Y62=""),"",V62-Y62)</f>
        <v/>
      </c>
      <c r="AA62" s="41" t="str">
        <f aca="true">IF(V62="","",V62-TODAY())</f>
        <v/>
      </c>
      <c r="AB62" s="42" t="str">
        <f aca="false">IF(V62="","",IF(AA62&lt;0,"Past due",IF(AA62&lt;=90,"0–90 days",IF(AA62&lt;=180,"91–180 days",IF(AA62&lt;=365,"181–365 days","Over a year")))))</f>
        <v/>
      </c>
      <c r="AC62" s="43"/>
      <c r="AD62" s="32"/>
      <c r="AE62" s="32"/>
      <c r="AF62" s="33"/>
      <c r="AG62" s="32"/>
      <c r="AH62" s="33"/>
      <c r="AI62" s="32"/>
      <c r="AJ62" s="33"/>
      <c r="AK62" s="32"/>
      <c r="AL62" s="32"/>
      <c r="AM62" s="33"/>
      <c r="AN62" s="31" t="str">
        <f aca="false">IF(B62="","",IFERROR(INDEX(Lookup!$B$2:$B$3000,MATCH(TRIM(B62),Lookup!$A$2:$A$3000,0)),""))</f>
        <v/>
      </c>
      <c r="AO62" s="42" t="str">
        <f aca="false">IF(B62="","",IF(AN62="","No – will be reviewed","Yes"))</f>
        <v/>
      </c>
      <c r="AP62" s="31" t="str">
        <f aca="false">IF(AN62="","",IFERROR(INDEX(Catalog!$B$5:$B$400,MATCH(AN62,Catalog!$A$5:$A$400,0)),""))</f>
        <v/>
      </c>
      <c r="AQ62" s="31" t="str">
        <f aca="false">IF(AN62="","",IFERROR(INDEX(Catalog!$C$5:$C$400,MATCH(AN62,Catalog!$A$5:$A$400,0)),""))</f>
        <v/>
      </c>
      <c r="AR62" s="31" t="str">
        <f aca="false">IF(AN62="","",IFERROR(INDEX(Catalog!$D$5:$D$400,MATCH(AN62,Catalog!$A$5:$A$400,0)),""))</f>
        <v/>
      </c>
      <c r="AS62" s="31" t="str">
        <f aca="false">IF(AN62="","",IFERROR(INDEX(Catalog!$E$5:$E$400,MATCH(AN62,Catalog!$A$5:$A$400,0)),""))</f>
        <v/>
      </c>
      <c r="AT62" s="44" t="str">
        <f aca="false">IF(AN62="","",IFERROR(INDEX(Catalog!$F$5:$F$400,MATCH(AN62,Catalog!$A$5:$A$400,0)),""))</f>
        <v/>
      </c>
      <c r="AU62" s="31" t="str">
        <f aca="false">IF(AND(B62&lt;&gt;"",ISNUMBER(V62)),V62+ROW()/100000,"")</f>
        <v/>
      </c>
    </row>
    <row r="63" customFormat="false" ht="15" hidden="false" customHeight="false" outlineLevel="0" collapsed="false">
      <c r="A63" s="31" t="str">
        <f aca="false">IF(B63="","",ROW()-5)</f>
        <v/>
      </c>
      <c r="B63" s="32"/>
      <c r="C63" s="32"/>
      <c r="D63" s="32"/>
      <c r="E63" s="32"/>
      <c r="F63" s="32"/>
      <c r="G63" s="32"/>
      <c r="H63" s="33"/>
      <c r="I63" s="33"/>
      <c r="J63" s="32"/>
      <c r="K63" s="33"/>
      <c r="L63" s="32"/>
      <c r="M63" s="34"/>
      <c r="N63" s="34"/>
      <c r="O63" s="35" t="str">
        <f aca="false">IF(OR(M63="",N63="",M63=0),"",N63/M63)</f>
        <v/>
      </c>
      <c r="P63" s="36"/>
      <c r="Q63" s="37"/>
      <c r="R63" s="38" t="str">
        <f aca="false">IF(Q63&lt;&gt;"",Q63,IF(AND(P63&lt;&gt;"",M63&lt;&gt;""),P63*12*M63,""))</f>
        <v/>
      </c>
      <c r="S63" s="32"/>
      <c r="T63" s="32"/>
      <c r="U63" s="39"/>
      <c r="V63" s="39"/>
      <c r="W63" s="34"/>
      <c r="X63" s="32"/>
      <c r="Y63" s="34"/>
      <c r="Z63" s="40" t="str">
        <f aca="false">IF(OR(V63="",Y63=""),"",V63-Y63)</f>
        <v/>
      </c>
      <c r="AA63" s="41" t="str">
        <f aca="true">IF(V63="","",V63-TODAY())</f>
        <v/>
      </c>
      <c r="AB63" s="42" t="str">
        <f aca="false">IF(V63="","",IF(AA63&lt;0,"Past due",IF(AA63&lt;=90,"0–90 days",IF(AA63&lt;=180,"91–180 days",IF(AA63&lt;=365,"181–365 days","Over a year")))))</f>
        <v/>
      </c>
      <c r="AC63" s="43"/>
      <c r="AD63" s="32"/>
      <c r="AE63" s="32"/>
      <c r="AF63" s="33"/>
      <c r="AG63" s="32"/>
      <c r="AH63" s="33"/>
      <c r="AI63" s="32"/>
      <c r="AJ63" s="33"/>
      <c r="AK63" s="32"/>
      <c r="AL63" s="32"/>
      <c r="AM63" s="33"/>
      <c r="AN63" s="31" t="str">
        <f aca="false">IF(B63="","",IFERROR(INDEX(Lookup!$B$2:$B$3000,MATCH(TRIM(B63),Lookup!$A$2:$A$3000,0)),""))</f>
        <v/>
      </c>
      <c r="AO63" s="42" t="str">
        <f aca="false">IF(B63="","",IF(AN63="","No – will be reviewed","Yes"))</f>
        <v/>
      </c>
      <c r="AP63" s="31" t="str">
        <f aca="false">IF(AN63="","",IFERROR(INDEX(Catalog!$B$5:$B$400,MATCH(AN63,Catalog!$A$5:$A$400,0)),""))</f>
        <v/>
      </c>
      <c r="AQ63" s="31" t="str">
        <f aca="false">IF(AN63="","",IFERROR(INDEX(Catalog!$C$5:$C$400,MATCH(AN63,Catalog!$A$5:$A$400,0)),""))</f>
        <v/>
      </c>
      <c r="AR63" s="31" t="str">
        <f aca="false">IF(AN63="","",IFERROR(INDEX(Catalog!$D$5:$D$400,MATCH(AN63,Catalog!$A$5:$A$400,0)),""))</f>
        <v/>
      </c>
      <c r="AS63" s="31" t="str">
        <f aca="false">IF(AN63="","",IFERROR(INDEX(Catalog!$E$5:$E$400,MATCH(AN63,Catalog!$A$5:$A$400,0)),""))</f>
        <v/>
      </c>
      <c r="AT63" s="44" t="str">
        <f aca="false">IF(AN63="","",IFERROR(INDEX(Catalog!$F$5:$F$400,MATCH(AN63,Catalog!$A$5:$A$400,0)),""))</f>
        <v/>
      </c>
      <c r="AU63" s="31" t="str">
        <f aca="false">IF(AND(B63&lt;&gt;"",ISNUMBER(V63)),V63+ROW()/100000,"")</f>
        <v/>
      </c>
    </row>
    <row r="64" customFormat="false" ht="15" hidden="false" customHeight="false" outlineLevel="0" collapsed="false">
      <c r="A64" s="31" t="str">
        <f aca="false">IF(B64="","",ROW()-5)</f>
        <v/>
      </c>
      <c r="B64" s="32"/>
      <c r="C64" s="32"/>
      <c r="D64" s="32"/>
      <c r="E64" s="32"/>
      <c r="F64" s="32"/>
      <c r="G64" s="32"/>
      <c r="H64" s="33"/>
      <c r="I64" s="33"/>
      <c r="J64" s="32"/>
      <c r="K64" s="33"/>
      <c r="L64" s="32"/>
      <c r="M64" s="34"/>
      <c r="N64" s="34"/>
      <c r="O64" s="35" t="str">
        <f aca="false">IF(OR(M64="",N64="",M64=0),"",N64/M64)</f>
        <v/>
      </c>
      <c r="P64" s="36"/>
      <c r="Q64" s="37"/>
      <c r="R64" s="38" t="str">
        <f aca="false">IF(Q64&lt;&gt;"",Q64,IF(AND(P64&lt;&gt;"",M64&lt;&gt;""),P64*12*M64,""))</f>
        <v/>
      </c>
      <c r="S64" s="32"/>
      <c r="T64" s="32"/>
      <c r="U64" s="39"/>
      <c r="V64" s="39"/>
      <c r="W64" s="34"/>
      <c r="X64" s="32"/>
      <c r="Y64" s="34"/>
      <c r="Z64" s="40" t="str">
        <f aca="false">IF(OR(V64="",Y64=""),"",V64-Y64)</f>
        <v/>
      </c>
      <c r="AA64" s="41" t="str">
        <f aca="true">IF(V64="","",V64-TODAY())</f>
        <v/>
      </c>
      <c r="AB64" s="42" t="str">
        <f aca="false">IF(V64="","",IF(AA64&lt;0,"Past due",IF(AA64&lt;=90,"0–90 days",IF(AA64&lt;=180,"91–180 days",IF(AA64&lt;=365,"181–365 days","Over a year")))))</f>
        <v/>
      </c>
      <c r="AC64" s="43"/>
      <c r="AD64" s="32"/>
      <c r="AE64" s="32"/>
      <c r="AF64" s="33"/>
      <c r="AG64" s="32"/>
      <c r="AH64" s="33"/>
      <c r="AI64" s="32"/>
      <c r="AJ64" s="33"/>
      <c r="AK64" s="32"/>
      <c r="AL64" s="32"/>
      <c r="AM64" s="33"/>
      <c r="AN64" s="31" t="str">
        <f aca="false">IF(B64="","",IFERROR(INDEX(Lookup!$B$2:$B$3000,MATCH(TRIM(B64),Lookup!$A$2:$A$3000,0)),""))</f>
        <v/>
      </c>
      <c r="AO64" s="42" t="str">
        <f aca="false">IF(B64="","",IF(AN64="","No – will be reviewed","Yes"))</f>
        <v/>
      </c>
      <c r="AP64" s="31" t="str">
        <f aca="false">IF(AN64="","",IFERROR(INDEX(Catalog!$B$5:$B$400,MATCH(AN64,Catalog!$A$5:$A$400,0)),""))</f>
        <v/>
      </c>
      <c r="AQ64" s="31" t="str">
        <f aca="false">IF(AN64="","",IFERROR(INDEX(Catalog!$C$5:$C$400,MATCH(AN64,Catalog!$A$5:$A$400,0)),""))</f>
        <v/>
      </c>
      <c r="AR64" s="31" t="str">
        <f aca="false">IF(AN64="","",IFERROR(INDEX(Catalog!$D$5:$D$400,MATCH(AN64,Catalog!$A$5:$A$400,0)),""))</f>
        <v/>
      </c>
      <c r="AS64" s="31" t="str">
        <f aca="false">IF(AN64="","",IFERROR(INDEX(Catalog!$E$5:$E$400,MATCH(AN64,Catalog!$A$5:$A$400,0)),""))</f>
        <v/>
      </c>
      <c r="AT64" s="44" t="str">
        <f aca="false">IF(AN64="","",IFERROR(INDEX(Catalog!$F$5:$F$400,MATCH(AN64,Catalog!$A$5:$A$400,0)),""))</f>
        <v/>
      </c>
      <c r="AU64" s="31" t="str">
        <f aca="false">IF(AND(B64&lt;&gt;"",ISNUMBER(V64)),V64+ROW()/100000,"")</f>
        <v/>
      </c>
    </row>
    <row r="65" customFormat="false" ht="15" hidden="false" customHeight="false" outlineLevel="0" collapsed="false">
      <c r="A65" s="31" t="str">
        <f aca="false">IF(B65="","",ROW()-5)</f>
        <v/>
      </c>
      <c r="B65" s="32"/>
      <c r="C65" s="32"/>
      <c r="D65" s="32"/>
      <c r="E65" s="32"/>
      <c r="F65" s="32"/>
      <c r="G65" s="32"/>
      <c r="H65" s="33"/>
      <c r="I65" s="33"/>
      <c r="J65" s="32"/>
      <c r="K65" s="33"/>
      <c r="L65" s="32"/>
      <c r="M65" s="34"/>
      <c r="N65" s="34"/>
      <c r="O65" s="35" t="str">
        <f aca="false">IF(OR(M65="",N65="",M65=0),"",N65/M65)</f>
        <v/>
      </c>
      <c r="P65" s="36"/>
      <c r="Q65" s="37"/>
      <c r="R65" s="38" t="str">
        <f aca="false">IF(Q65&lt;&gt;"",Q65,IF(AND(P65&lt;&gt;"",M65&lt;&gt;""),P65*12*M65,""))</f>
        <v/>
      </c>
      <c r="S65" s="32"/>
      <c r="T65" s="32"/>
      <c r="U65" s="39"/>
      <c r="V65" s="39"/>
      <c r="W65" s="34"/>
      <c r="X65" s="32"/>
      <c r="Y65" s="34"/>
      <c r="Z65" s="40" t="str">
        <f aca="false">IF(OR(V65="",Y65=""),"",V65-Y65)</f>
        <v/>
      </c>
      <c r="AA65" s="41" t="str">
        <f aca="true">IF(V65="","",V65-TODAY())</f>
        <v/>
      </c>
      <c r="AB65" s="42" t="str">
        <f aca="false">IF(V65="","",IF(AA65&lt;0,"Past due",IF(AA65&lt;=90,"0–90 days",IF(AA65&lt;=180,"91–180 days",IF(AA65&lt;=365,"181–365 days","Over a year")))))</f>
        <v/>
      </c>
      <c r="AC65" s="43"/>
      <c r="AD65" s="32"/>
      <c r="AE65" s="32"/>
      <c r="AF65" s="33"/>
      <c r="AG65" s="32"/>
      <c r="AH65" s="33"/>
      <c r="AI65" s="32"/>
      <c r="AJ65" s="33"/>
      <c r="AK65" s="32"/>
      <c r="AL65" s="32"/>
      <c r="AM65" s="33"/>
      <c r="AN65" s="31" t="str">
        <f aca="false">IF(B65="","",IFERROR(INDEX(Lookup!$B$2:$B$3000,MATCH(TRIM(B65),Lookup!$A$2:$A$3000,0)),""))</f>
        <v/>
      </c>
      <c r="AO65" s="42" t="str">
        <f aca="false">IF(B65="","",IF(AN65="","No – will be reviewed","Yes"))</f>
        <v/>
      </c>
      <c r="AP65" s="31" t="str">
        <f aca="false">IF(AN65="","",IFERROR(INDEX(Catalog!$B$5:$B$400,MATCH(AN65,Catalog!$A$5:$A$400,0)),""))</f>
        <v/>
      </c>
      <c r="AQ65" s="31" t="str">
        <f aca="false">IF(AN65="","",IFERROR(INDEX(Catalog!$C$5:$C$400,MATCH(AN65,Catalog!$A$5:$A$400,0)),""))</f>
        <v/>
      </c>
      <c r="AR65" s="31" t="str">
        <f aca="false">IF(AN65="","",IFERROR(INDEX(Catalog!$D$5:$D$400,MATCH(AN65,Catalog!$A$5:$A$400,0)),""))</f>
        <v/>
      </c>
      <c r="AS65" s="31" t="str">
        <f aca="false">IF(AN65="","",IFERROR(INDEX(Catalog!$E$5:$E$400,MATCH(AN65,Catalog!$A$5:$A$400,0)),""))</f>
        <v/>
      </c>
      <c r="AT65" s="44" t="str">
        <f aca="false">IF(AN65="","",IFERROR(INDEX(Catalog!$F$5:$F$400,MATCH(AN65,Catalog!$A$5:$A$400,0)),""))</f>
        <v/>
      </c>
      <c r="AU65" s="31" t="str">
        <f aca="false">IF(AND(B65&lt;&gt;"",ISNUMBER(V65)),V65+ROW()/100000,"")</f>
        <v/>
      </c>
    </row>
    <row r="66" customFormat="false" ht="15" hidden="false" customHeight="false" outlineLevel="0" collapsed="false">
      <c r="A66" s="31" t="str">
        <f aca="false">IF(B66="","",ROW()-5)</f>
        <v/>
      </c>
      <c r="B66" s="32"/>
      <c r="C66" s="32"/>
      <c r="D66" s="32"/>
      <c r="E66" s="32"/>
      <c r="F66" s="32"/>
      <c r="G66" s="32"/>
      <c r="H66" s="33"/>
      <c r="I66" s="33"/>
      <c r="J66" s="32"/>
      <c r="K66" s="33"/>
      <c r="L66" s="32"/>
      <c r="M66" s="34"/>
      <c r="N66" s="34"/>
      <c r="O66" s="35" t="str">
        <f aca="false">IF(OR(M66="",N66="",M66=0),"",N66/M66)</f>
        <v/>
      </c>
      <c r="P66" s="36"/>
      <c r="Q66" s="37"/>
      <c r="R66" s="38" t="str">
        <f aca="false">IF(Q66&lt;&gt;"",Q66,IF(AND(P66&lt;&gt;"",M66&lt;&gt;""),P66*12*M66,""))</f>
        <v/>
      </c>
      <c r="S66" s="32"/>
      <c r="T66" s="32"/>
      <c r="U66" s="39"/>
      <c r="V66" s="39"/>
      <c r="W66" s="34"/>
      <c r="X66" s="32"/>
      <c r="Y66" s="34"/>
      <c r="Z66" s="40" t="str">
        <f aca="false">IF(OR(V66="",Y66=""),"",V66-Y66)</f>
        <v/>
      </c>
      <c r="AA66" s="41" t="str">
        <f aca="true">IF(V66="","",V66-TODAY())</f>
        <v/>
      </c>
      <c r="AB66" s="42" t="str">
        <f aca="false">IF(V66="","",IF(AA66&lt;0,"Past due",IF(AA66&lt;=90,"0–90 days",IF(AA66&lt;=180,"91–180 days",IF(AA66&lt;=365,"181–365 days","Over a year")))))</f>
        <v/>
      </c>
      <c r="AC66" s="43"/>
      <c r="AD66" s="32"/>
      <c r="AE66" s="32"/>
      <c r="AF66" s="33"/>
      <c r="AG66" s="32"/>
      <c r="AH66" s="33"/>
      <c r="AI66" s="32"/>
      <c r="AJ66" s="33"/>
      <c r="AK66" s="32"/>
      <c r="AL66" s="32"/>
      <c r="AM66" s="33"/>
      <c r="AN66" s="31" t="str">
        <f aca="false">IF(B66="","",IFERROR(INDEX(Lookup!$B$2:$B$3000,MATCH(TRIM(B66),Lookup!$A$2:$A$3000,0)),""))</f>
        <v/>
      </c>
      <c r="AO66" s="42" t="str">
        <f aca="false">IF(B66="","",IF(AN66="","No – will be reviewed","Yes"))</f>
        <v/>
      </c>
      <c r="AP66" s="31" t="str">
        <f aca="false">IF(AN66="","",IFERROR(INDEX(Catalog!$B$5:$B$400,MATCH(AN66,Catalog!$A$5:$A$400,0)),""))</f>
        <v/>
      </c>
      <c r="AQ66" s="31" t="str">
        <f aca="false">IF(AN66="","",IFERROR(INDEX(Catalog!$C$5:$C$400,MATCH(AN66,Catalog!$A$5:$A$400,0)),""))</f>
        <v/>
      </c>
      <c r="AR66" s="31" t="str">
        <f aca="false">IF(AN66="","",IFERROR(INDEX(Catalog!$D$5:$D$400,MATCH(AN66,Catalog!$A$5:$A$400,0)),""))</f>
        <v/>
      </c>
      <c r="AS66" s="31" t="str">
        <f aca="false">IF(AN66="","",IFERROR(INDEX(Catalog!$E$5:$E$400,MATCH(AN66,Catalog!$A$5:$A$400,0)),""))</f>
        <v/>
      </c>
      <c r="AT66" s="44" t="str">
        <f aca="false">IF(AN66="","",IFERROR(INDEX(Catalog!$F$5:$F$400,MATCH(AN66,Catalog!$A$5:$A$400,0)),""))</f>
        <v/>
      </c>
      <c r="AU66" s="31" t="str">
        <f aca="false">IF(AND(B66&lt;&gt;"",ISNUMBER(V66)),V66+ROW()/100000,"")</f>
        <v/>
      </c>
    </row>
    <row r="67" customFormat="false" ht="15" hidden="false" customHeight="false" outlineLevel="0" collapsed="false">
      <c r="A67" s="31" t="str">
        <f aca="false">IF(B67="","",ROW()-5)</f>
        <v/>
      </c>
      <c r="B67" s="32"/>
      <c r="C67" s="32"/>
      <c r="D67" s="32"/>
      <c r="E67" s="32"/>
      <c r="F67" s="32"/>
      <c r="G67" s="32"/>
      <c r="H67" s="33"/>
      <c r="I67" s="33"/>
      <c r="J67" s="32"/>
      <c r="K67" s="33"/>
      <c r="L67" s="32"/>
      <c r="M67" s="34"/>
      <c r="N67" s="34"/>
      <c r="O67" s="35" t="str">
        <f aca="false">IF(OR(M67="",N67="",M67=0),"",N67/M67)</f>
        <v/>
      </c>
      <c r="P67" s="36"/>
      <c r="Q67" s="37"/>
      <c r="R67" s="38" t="str">
        <f aca="false">IF(Q67&lt;&gt;"",Q67,IF(AND(P67&lt;&gt;"",M67&lt;&gt;""),P67*12*M67,""))</f>
        <v/>
      </c>
      <c r="S67" s="32"/>
      <c r="T67" s="32"/>
      <c r="U67" s="39"/>
      <c r="V67" s="39"/>
      <c r="W67" s="34"/>
      <c r="X67" s="32"/>
      <c r="Y67" s="34"/>
      <c r="Z67" s="40" t="str">
        <f aca="false">IF(OR(V67="",Y67=""),"",V67-Y67)</f>
        <v/>
      </c>
      <c r="AA67" s="41" t="str">
        <f aca="true">IF(V67="","",V67-TODAY())</f>
        <v/>
      </c>
      <c r="AB67" s="42" t="str">
        <f aca="false">IF(V67="","",IF(AA67&lt;0,"Past due",IF(AA67&lt;=90,"0–90 days",IF(AA67&lt;=180,"91–180 days",IF(AA67&lt;=365,"181–365 days","Over a year")))))</f>
        <v/>
      </c>
      <c r="AC67" s="43"/>
      <c r="AD67" s="32"/>
      <c r="AE67" s="32"/>
      <c r="AF67" s="33"/>
      <c r="AG67" s="32"/>
      <c r="AH67" s="33"/>
      <c r="AI67" s="32"/>
      <c r="AJ67" s="33"/>
      <c r="AK67" s="32"/>
      <c r="AL67" s="32"/>
      <c r="AM67" s="33"/>
      <c r="AN67" s="31" t="str">
        <f aca="false">IF(B67="","",IFERROR(INDEX(Lookup!$B$2:$B$3000,MATCH(TRIM(B67),Lookup!$A$2:$A$3000,0)),""))</f>
        <v/>
      </c>
      <c r="AO67" s="42" t="str">
        <f aca="false">IF(B67="","",IF(AN67="","No – will be reviewed","Yes"))</f>
        <v/>
      </c>
      <c r="AP67" s="31" t="str">
        <f aca="false">IF(AN67="","",IFERROR(INDEX(Catalog!$B$5:$B$400,MATCH(AN67,Catalog!$A$5:$A$400,0)),""))</f>
        <v/>
      </c>
      <c r="AQ67" s="31" t="str">
        <f aca="false">IF(AN67="","",IFERROR(INDEX(Catalog!$C$5:$C$400,MATCH(AN67,Catalog!$A$5:$A$400,0)),""))</f>
        <v/>
      </c>
      <c r="AR67" s="31" t="str">
        <f aca="false">IF(AN67="","",IFERROR(INDEX(Catalog!$D$5:$D$400,MATCH(AN67,Catalog!$A$5:$A$400,0)),""))</f>
        <v/>
      </c>
      <c r="AS67" s="31" t="str">
        <f aca="false">IF(AN67="","",IFERROR(INDEX(Catalog!$E$5:$E$400,MATCH(AN67,Catalog!$A$5:$A$400,0)),""))</f>
        <v/>
      </c>
      <c r="AT67" s="44" t="str">
        <f aca="false">IF(AN67="","",IFERROR(INDEX(Catalog!$F$5:$F$400,MATCH(AN67,Catalog!$A$5:$A$400,0)),""))</f>
        <v/>
      </c>
      <c r="AU67" s="31" t="str">
        <f aca="false">IF(AND(B67&lt;&gt;"",ISNUMBER(V67)),V67+ROW()/100000,"")</f>
        <v/>
      </c>
    </row>
    <row r="68" customFormat="false" ht="15" hidden="false" customHeight="false" outlineLevel="0" collapsed="false">
      <c r="A68" s="31" t="str">
        <f aca="false">IF(B68="","",ROW()-5)</f>
        <v/>
      </c>
      <c r="B68" s="32"/>
      <c r="C68" s="32"/>
      <c r="D68" s="32"/>
      <c r="E68" s="32"/>
      <c r="F68" s="32"/>
      <c r="G68" s="32"/>
      <c r="H68" s="33"/>
      <c r="I68" s="33"/>
      <c r="J68" s="32"/>
      <c r="K68" s="33"/>
      <c r="L68" s="32"/>
      <c r="M68" s="34"/>
      <c r="N68" s="34"/>
      <c r="O68" s="35" t="str">
        <f aca="false">IF(OR(M68="",N68="",M68=0),"",N68/M68)</f>
        <v/>
      </c>
      <c r="P68" s="36"/>
      <c r="Q68" s="37"/>
      <c r="R68" s="38" t="str">
        <f aca="false">IF(Q68&lt;&gt;"",Q68,IF(AND(P68&lt;&gt;"",M68&lt;&gt;""),P68*12*M68,""))</f>
        <v/>
      </c>
      <c r="S68" s="32"/>
      <c r="T68" s="32"/>
      <c r="U68" s="39"/>
      <c r="V68" s="39"/>
      <c r="W68" s="34"/>
      <c r="X68" s="32"/>
      <c r="Y68" s="34"/>
      <c r="Z68" s="40" t="str">
        <f aca="false">IF(OR(V68="",Y68=""),"",V68-Y68)</f>
        <v/>
      </c>
      <c r="AA68" s="41" t="str">
        <f aca="true">IF(V68="","",V68-TODAY())</f>
        <v/>
      </c>
      <c r="AB68" s="42" t="str">
        <f aca="false">IF(V68="","",IF(AA68&lt;0,"Past due",IF(AA68&lt;=90,"0–90 days",IF(AA68&lt;=180,"91–180 days",IF(AA68&lt;=365,"181–365 days","Over a year")))))</f>
        <v/>
      </c>
      <c r="AC68" s="43"/>
      <c r="AD68" s="32"/>
      <c r="AE68" s="32"/>
      <c r="AF68" s="33"/>
      <c r="AG68" s="32"/>
      <c r="AH68" s="33"/>
      <c r="AI68" s="32"/>
      <c r="AJ68" s="33"/>
      <c r="AK68" s="32"/>
      <c r="AL68" s="32"/>
      <c r="AM68" s="33"/>
      <c r="AN68" s="31" t="str">
        <f aca="false">IF(B68="","",IFERROR(INDEX(Lookup!$B$2:$B$3000,MATCH(TRIM(B68),Lookup!$A$2:$A$3000,0)),""))</f>
        <v/>
      </c>
      <c r="AO68" s="42" t="str">
        <f aca="false">IF(B68="","",IF(AN68="","No – will be reviewed","Yes"))</f>
        <v/>
      </c>
      <c r="AP68" s="31" t="str">
        <f aca="false">IF(AN68="","",IFERROR(INDEX(Catalog!$B$5:$B$400,MATCH(AN68,Catalog!$A$5:$A$400,0)),""))</f>
        <v/>
      </c>
      <c r="AQ68" s="31" t="str">
        <f aca="false">IF(AN68="","",IFERROR(INDEX(Catalog!$C$5:$C$400,MATCH(AN68,Catalog!$A$5:$A$400,0)),""))</f>
        <v/>
      </c>
      <c r="AR68" s="31" t="str">
        <f aca="false">IF(AN68="","",IFERROR(INDEX(Catalog!$D$5:$D$400,MATCH(AN68,Catalog!$A$5:$A$400,0)),""))</f>
        <v/>
      </c>
      <c r="AS68" s="31" t="str">
        <f aca="false">IF(AN68="","",IFERROR(INDEX(Catalog!$E$5:$E$400,MATCH(AN68,Catalog!$A$5:$A$400,0)),""))</f>
        <v/>
      </c>
      <c r="AT68" s="44" t="str">
        <f aca="false">IF(AN68="","",IFERROR(INDEX(Catalog!$F$5:$F$400,MATCH(AN68,Catalog!$A$5:$A$400,0)),""))</f>
        <v/>
      </c>
      <c r="AU68" s="31" t="str">
        <f aca="false">IF(AND(B68&lt;&gt;"",ISNUMBER(V68)),V68+ROW()/100000,"")</f>
        <v/>
      </c>
    </row>
    <row r="69" customFormat="false" ht="15" hidden="false" customHeight="false" outlineLevel="0" collapsed="false">
      <c r="A69" s="31" t="str">
        <f aca="false">IF(B69="","",ROW()-5)</f>
        <v/>
      </c>
      <c r="B69" s="32"/>
      <c r="C69" s="32"/>
      <c r="D69" s="32"/>
      <c r="E69" s="32"/>
      <c r="F69" s="32"/>
      <c r="G69" s="32"/>
      <c r="H69" s="33"/>
      <c r="I69" s="33"/>
      <c r="J69" s="32"/>
      <c r="K69" s="33"/>
      <c r="L69" s="32"/>
      <c r="M69" s="34"/>
      <c r="N69" s="34"/>
      <c r="O69" s="35" t="str">
        <f aca="false">IF(OR(M69="",N69="",M69=0),"",N69/M69)</f>
        <v/>
      </c>
      <c r="P69" s="36"/>
      <c r="Q69" s="37"/>
      <c r="R69" s="38" t="str">
        <f aca="false">IF(Q69&lt;&gt;"",Q69,IF(AND(P69&lt;&gt;"",M69&lt;&gt;""),P69*12*M69,""))</f>
        <v/>
      </c>
      <c r="S69" s="32"/>
      <c r="T69" s="32"/>
      <c r="U69" s="39"/>
      <c r="V69" s="39"/>
      <c r="W69" s="34"/>
      <c r="X69" s="32"/>
      <c r="Y69" s="34"/>
      <c r="Z69" s="40" t="str">
        <f aca="false">IF(OR(V69="",Y69=""),"",V69-Y69)</f>
        <v/>
      </c>
      <c r="AA69" s="41" t="str">
        <f aca="true">IF(V69="","",V69-TODAY())</f>
        <v/>
      </c>
      <c r="AB69" s="42" t="str">
        <f aca="false">IF(V69="","",IF(AA69&lt;0,"Past due",IF(AA69&lt;=90,"0–90 days",IF(AA69&lt;=180,"91–180 days",IF(AA69&lt;=365,"181–365 days","Over a year")))))</f>
        <v/>
      </c>
      <c r="AC69" s="43"/>
      <c r="AD69" s="32"/>
      <c r="AE69" s="32"/>
      <c r="AF69" s="33"/>
      <c r="AG69" s="32"/>
      <c r="AH69" s="33"/>
      <c r="AI69" s="32"/>
      <c r="AJ69" s="33"/>
      <c r="AK69" s="32"/>
      <c r="AL69" s="32"/>
      <c r="AM69" s="33"/>
      <c r="AN69" s="31" t="str">
        <f aca="false">IF(B69="","",IFERROR(INDEX(Lookup!$B$2:$B$3000,MATCH(TRIM(B69),Lookup!$A$2:$A$3000,0)),""))</f>
        <v/>
      </c>
      <c r="AO69" s="42" t="str">
        <f aca="false">IF(B69="","",IF(AN69="","No – will be reviewed","Yes"))</f>
        <v/>
      </c>
      <c r="AP69" s="31" t="str">
        <f aca="false">IF(AN69="","",IFERROR(INDEX(Catalog!$B$5:$B$400,MATCH(AN69,Catalog!$A$5:$A$400,0)),""))</f>
        <v/>
      </c>
      <c r="AQ69" s="31" t="str">
        <f aca="false">IF(AN69="","",IFERROR(INDEX(Catalog!$C$5:$C$400,MATCH(AN69,Catalog!$A$5:$A$400,0)),""))</f>
        <v/>
      </c>
      <c r="AR69" s="31" t="str">
        <f aca="false">IF(AN69="","",IFERROR(INDEX(Catalog!$D$5:$D$400,MATCH(AN69,Catalog!$A$5:$A$400,0)),""))</f>
        <v/>
      </c>
      <c r="AS69" s="31" t="str">
        <f aca="false">IF(AN69="","",IFERROR(INDEX(Catalog!$E$5:$E$400,MATCH(AN69,Catalog!$A$5:$A$400,0)),""))</f>
        <v/>
      </c>
      <c r="AT69" s="44" t="str">
        <f aca="false">IF(AN69="","",IFERROR(INDEX(Catalog!$F$5:$F$400,MATCH(AN69,Catalog!$A$5:$A$400,0)),""))</f>
        <v/>
      </c>
      <c r="AU69" s="31" t="str">
        <f aca="false">IF(AND(B69&lt;&gt;"",ISNUMBER(V69)),V69+ROW()/100000,"")</f>
        <v/>
      </c>
    </row>
    <row r="70" customFormat="false" ht="15" hidden="false" customHeight="false" outlineLevel="0" collapsed="false">
      <c r="A70" s="31" t="str">
        <f aca="false">IF(B70="","",ROW()-5)</f>
        <v/>
      </c>
      <c r="B70" s="32"/>
      <c r="C70" s="32"/>
      <c r="D70" s="32"/>
      <c r="E70" s="32"/>
      <c r="F70" s="32"/>
      <c r="G70" s="32"/>
      <c r="H70" s="33"/>
      <c r="I70" s="33"/>
      <c r="J70" s="32"/>
      <c r="K70" s="33"/>
      <c r="L70" s="32"/>
      <c r="M70" s="34"/>
      <c r="N70" s="34"/>
      <c r="O70" s="35" t="str">
        <f aca="false">IF(OR(M70="",N70="",M70=0),"",N70/M70)</f>
        <v/>
      </c>
      <c r="P70" s="36"/>
      <c r="Q70" s="37"/>
      <c r="R70" s="38" t="str">
        <f aca="false">IF(Q70&lt;&gt;"",Q70,IF(AND(P70&lt;&gt;"",M70&lt;&gt;""),P70*12*M70,""))</f>
        <v/>
      </c>
      <c r="S70" s="32"/>
      <c r="T70" s="32"/>
      <c r="U70" s="39"/>
      <c r="V70" s="39"/>
      <c r="W70" s="34"/>
      <c r="X70" s="32"/>
      <c r="Y70" s="34"/>
      <c r="Z70" s="40" t="str">
        <f aca="false">IF(OR(V70="",Y70=""),"",V70-Y70)</f>
        <v/>
      </c>
      <c r="AA70" s="41" t="str">
        <f aca="true">IF(V70="","",V70-TODAY())</f>
        <v/>
      </c>
      <c r="AB70" s="42" t="str">
        <f aca="false">IF(V70="","",IF(AA70&lt;0,"Past due",IF(AA70&lt;=90,"0–90 days",IF(AA70&lt;=180,"91–180 days",IF(AA70&lt;=365,"181–365 days","Over a year")))))</f>
        <v/>
      </c>
      <c r="AC70" s="43"/>
      <c r="AD70" s="32"/>
      <c r="AE70" s="32"/>
      <c r="AF70" s="33"/>
      <c r="AG70" s="32"/>
      <c r="AH70" s="33"/>
      <c r="AI70" s="32"/>
      <c r="AJ70" s="33"/>
      <c r="AK70" s="32"/>
      <c r="AL70" s="32"/>
      <c r="AM70" s="33"/>
      <c r="AN70" s="31" t="str">
        <f aca="false">IF(B70="","",IFERROR(INDEX(Lookup!$B$2:$B$3000,MATCH(TRIM(B70),Lookup!$A$2:$A$3000,0)),""))</f>
        <v/>
      </c>
      <c r="AO70" s="42" t="str">
        <f aca="false">IF(B70="","",IF(AN70="","No – will be reviewed","Yes"))</f>
        <v/>
      </c>
      <c r="AP70" s="31" t="str">
        <f aca="false">IF(AN70="","",IFERROR(INDEX(Catalog!$B$5:$B$400,MATCH(AN70,Catalog!$A$5:$A$400,0)),""))</f>
        <v/>
      </c>
      <c r="AQ70" s="31" t="str">
        <f aca="false">IF(AN70="","",IFERROR(INDEX(Catalog!$C$5:$C$400,MATCH(AN70,Catalog!$A$5:$A$400,0)),""))</f>
        <v/>
      </c>
      <c r="AR70" s="31" t="str">
        <f aca="false">IF(AN70="","",IFERROR(INDEX(Catalog!$D$5:$D$400,MATCH(AN70,Catalog!$A$5:$A$400,0)),""))</f>
        <v/>
      </c>
      <c r="AS70" s="31" t="str">
        <f aca="false">IF(AN70="","",IFERROR(INDEX(Catalog!$E$5:$E$400,MATCH(AN70,Catalog!$A$5:$A$400,0)),""))</f>
        <v/>
      </c>
      <c r="AT70" s="44" t="str">
        <f aca="false">IF(AN70="","",IFERROR(INDEX(Catalog!$F$5:$F$400,MATCH(AN70,Catalog!$A$5:$A$400,0)),""))</f>
        <v/>
      </c>
      <c r="AU70" s="31" t="str">
        <f aca="false">IF(AND(B70&lt;&gt;"",ISNUMBER(V70)),V70+ROW()/100000,"")</f>
        <v/>
      </c>
    </row>
    <row r="71" customFormat="false" ht="15" hidden="false" customHeight="false" outlineLevel="0" collapsed="false">
      <c r="A71" s="31" t="str">
        <f aca="false">IF(B71="","",ROW()-5)</f>
        <v/>
      </c>
      <c r="B71" s="32"/>
      <c r="C71" s="32"/>
      <c r="D71" s="32"/>
      <c r="E71" s="32"/>
      <c r="F71" s="32"/>
      <c r="G71" s="32"/>
      <c r="H71" s="33"/>
      <c r="I71" s="33"/>
      <c r="J71" s="32"/>
      <c r="K71" s="33"/>
      <c r="L71" s="32"/>
      <c r="M71" s="34"/>
      <c r="N71" s="34"/>
      <c r="O71" s="35" t="str">
        <f aca="false">IF(OR(M71="",N71="",M71=0),"",N71/M71)</f>
        <v/>
      </c>
      <c r="P71" s="36"/>
      <c r="Q71" s="37"/>
      <c r="R71" s="38" t="str">
        <f aca="false">IF(Q71&lt;&gt;"",Q71,IF(AND(P71&lt;&gt;"",M71&lt;&gt;""),P71*12*M71,""))</f>
        <v/>
      </c>
      <c r="S71" s="32"/>
      <c r="T71" s="32"/>
      <c r="U71" s="39"/>
      <c r="V71" s="39"/>
      <c r="W71" s="34"/>
      <c r="X71" s="32"/>
      <c r="Y71" s="34"/>
      <c r="Z71" s="40" t="str">
        <f aca="false">IF(OR(V71="",Y71=""),"",V71-Y71)</f>
        <v/>
      </c>
      <c r="AA71" s="41" t="str">
        <f aca="true">IF(V71="","",V71-TODAY())</f>
        <v/>
      </c>
      <c r="AB71" s="42" t="str">
        <f aca="false">IF(V71="","",IF(AA71&lt;0,"Past due",IF(AA71&lt;=90,"0–90 days",IF(AA71&lt;=180,"91–180 days",IF(AA71&lt;=365,"181–365 days","Over a year")))))</f>
        <v/>
      </c>
      <c r="AC71" s="43"/>
      <c r="AD71" s="32"/>
      <c r="AE71" s="32"/>
      <c r="AF71" s="33"/>
      <c r="AG71" s="32"/>
      <c r="AH71" s="33"/>
      <c r="AI71" s="32"/>
      <c r="AJ71" s="33"/>
      <c r="AK71" s="32"/>
      <c r="AL71" s="32"/>
      <c r="AM71" s="33"/>
      <c r="AN71" s="31" t="str">
        <f aca="false">IF(B71="","",IFERROR(INDEX(Lookup!$B$2:$B$3000,MATCH(TRIM(B71),Lookup!$A$2:$A$3000,0)),""))</f>
        <v/>
      </c>
      <c r="AO71" s="42" t="str">
        <f aca="false">IF(B71="","",IF(AN71="","No – will be reviewed","Yes"))</f>
        <v/>
      </c>
      <c r="AP71" s="31" t="str">
        <f aca="false">IF(AN71="","",IFERROR(INDEX(Catalog!$B$5:$B$400,MATCH(AN71,Catalog!$A$5:$A$400,0)),""))</f>
        <v/>
      </c>
      <c r="AQ71" s="31" t="str">
        <f aca="false">IF(AN71="","",IFERROR(INDEX(Catalog!$C$5:$C$400,MATCH(AN71,Catalog!$A$5:$A$400,0)),""))</f>
        <v/>
      </c>
      <c r="AR71" s="31" t="str">
        <f aca="false">IF(AN71="","",IFERROR(INDEX(Catalog!$D$5:$D$400,MATCH(AN71,Catalog!$A$5:$A$400,0)),""))</f>
        <v/>
      </c>
      <c r="AS71" s="31" t="str">
        <f aca="false">IF(AN71="","",IFERROR(INDEX(Catalog!$E$5:$E$400,MATCH(AN71,Catalog!$A$5:$A$400,0)),""))</f>
        <v/>
      </c>
      <c r="AT71" s="44" t="str">
        <f aca="false">IF(AN71="","",IFERROR(INDEX(Catalog!$F$5:$F$400,MATCH(AN71,Catalog!$A$5:$A$400,0)),""))</f>
        <v/>
      </c>
      <c r="AU71" s="31" t="str">
        <f aca="false">IF(AND(B71&lt;&gt;"",ISNUMBER(V71)),V71+ROW()/100000,"")</f>
        <v/>
      </c>
    </row>
    <row r="72" customFormat="false" ht="15" hidden="false" customHeight="false" outlineLevel="0" collapsed="false">
      <c r="A72" s="31" t="str">
        <f aca="false">IF(B72="","",ROW()-5)</f>
        <v/>
      </c>
      <c r="B72" s="32"/>
      <c r="C72" s="32"/>
      <c r="D72" s="32"/>
      <c r="E72" s="32"/>
      <c r="F72" s="32"/>
      <c r="G72" s="32"/>
      <c r="H72" s="33"/>
      <c r="I72" s="33"/>
      <c r="J72" s="32"/>
      <c r="K72" s="33"/>
      <c r="L72" s="32"/>
      <c r="M72" s="34"/>
      <c r="N72" s="34"/>
      <c r="O72" s="35" t="str">
        <f aca="false">IF(OR(M72="",N72="",M72=0),"",N72/M72)</f>
        <v/>
      </c>
      <c r="P72" s="36"/>
      <c r="Q72" s="37"/>
      <c r="R72" s="38" t="str">
        <f aca="false">IF(Q72&lt;&gt;"",Q72,IF(AND(P72&lt;&gt;"",M72&lt;&gt;""),P72*12*M72,""))</f>
        <v/>
      </c>
      <c r="S72" s="32"/>
      <c r="T72" s="32"/>
      <c r="U72" s="39"/>
      <c r="V72" s="39"/>
      <c r="W72" s="34"/>
      <c r="X72" s="32"/>
      <c r="Y72" s="34"/>
      <c r="Z72" s="40" t="str">
        <f aca="false">IF(OR(V72="",Y72=""),"",V72-Y72)</f>
        <v/>
      </c>
      <c r="AA72" s="41" t="str">
        <f aca="true">IF(V72="","",V72-TODAY())</f>
        <v/>
      </c>
      <c r="AB72" s="42" t="str">
        <f aca="false">IF(V72="","",IF(AA72&lt;0,"Past due",IF(AA72&lt;=90,"0–90 days",IF(AA72&lt;=180,"91–180 days",IF(AA72&lt;=365,"181–365 days","Over a year")))))</f>
        <v/>
      </c>
      <c r="AC72" s="43"/>
      <c r="AD72" s="32"/>
      <c r="AE72" s="32"/>
      <c r="AF72" s="33"/>
      <c r="AG72" s="32"/>
      <c r="AH72" s="33"/>
      <c r="AI72" s="32"/>
      <c r="AJ72" s="33"/>
      <c r="AK72" s="32"/>
      <c r="AL72" s="32"/>
      <c r="AM72" s="33"/>
      <c r="AN72" s="31" t="str">
        <f aca="false">IF(B72="","",IFERROR(INDEX(Lookup!$B$2:$B$3000,MATCH(TRIM(B72),Lookup!$A$2:$A$3000,0)),""))</f>
        <v/>
      </c>
      <c r="AO72" s="42" t="str">
        <f aca="false">IF(B72="","",IF(AN72="","No – will be reviewed","Yes"))</f>
        <v/>
      </c>
      <c r="AP72" s="31" t="str">
        <f aca="false">IF(AN72="","",IFERROR(INDEX(Catalog!$B$5:$B$400,MATCH(AN72,Catalog!$A$5:$A$400,0)),""))</f>
        <v/>
      </c>
      <c r="AQ72" s="31" t="str">
        <f aca="false">IF(AN72="","",IFERROR(INDEX(Catalog!$C$5:$C$400,MATCH(AN72,Catalog!$A$5:$A$400,0)),""))</f>
        <v/>
      </c>
      <c r="AR72" s="31" t="str">
        <f aca="false">IF(AN72="","",IFERROR(INDEX(Catalog!$D$5:$D$400,MATCH(AN72,Catalog!$A$5:$A$400,0)),""))</f>
        <v/>
      </c>
      <c r="AS72" s="31" t="str">
        <f aca="false">IF(AN72="","",IFERROR(INDEX(Catalog!$E$5:$E$400,MATCH(AN72,Catalog!$A$5:$A$400,0)),""))</f>
        <v/>
      </c>
      <c r="AT72" s="44" t="str">
        <f aca="false">IF(AN72="","",IFERROR(INDEX(Catalog!$F$5:$F$400,MATCH(AN72,Catalog!$A$5:$A$400,0)),""))</f>
        <v/>
      </c>
      <c r="AU72" s="31" t="str">
        <f aca="false">IF(AND(B72&lt;&gt;"",ISNUMBER(V72)),V72+ROW()/100000,"")</f>
        <v/>
      </c>
    </row>
    <row r="73" customFormat="false" ht="15" hidden="false" customHeight="false" outlineLevel="0" collapsed="false">
      <c r="A73" s="31" t="str">
        <f aca="false">IF(B73="","",ROW()-5)</f>
        <v/>
      </c>
      <c r="B73" s="32"/>
      <c r="C73" s="32"/>
      <c r="D73" s="32"/>
      <c r="E73" s="32"/>
      <c r="F73" s="32"/>
      <c r="G73" s="32"/>
      <c r="H73" s="33"/>
      <c r="I73" s="33"/>
      <c r="J73" s="32"/>
      <c r="K73" s="33"/>
      <c r="L73" s="32"/>
      <c r="M73" s="34"/>
      <c r="N73" s="34"/>
      <c r="O73" s="35" t="str">
        <f aca="false">IF(OR(M73="",N73="",M73=0),"",N73/M73)</f>
        <v/>
      </c>
      <c r="P73" s="36"/>
      <c r="Q73" s="37"/>
      <c r="R73" s="38" t="str">
        <f aca="false">IF(Q73&lt;&gt;"",Q73,IF(AND(P73&lt;&gt;"",M73&lt;&gt;""),P73*12*M73,""))</f>
        <v/>
      </c>
      <c r="S73" s="32"/>
      <c r="T73" s="32"/>
      <c r="U73" s="39"/>
      <c r="V73" s="39"/>
      <c r="W73" s="34"/>
      <c r="X73" s="32"/>
      <c r="Y73" s="34"/>
      <c r="Z73" s="40" t="str">
        <f aca="false">IF(OR(V73="",Y73=""),"",V73-Y73)</f>
        <v/>
      </c>
      <c r="AA73" s="41" t="str">
        <f aca="true">IF(V73="","",V73-TODAY())</f>
        <v/>
      </c>
      <c r="AB73" s="42" t="str">
        <f aca="false">IF(V73="","",IF(AA73&lt;0,"Past due",IF(AA73&lt;=90,"0–90 days",IF(AA73&lt;=180,"91–180 days",IF(AA73&lt;=365,"181–365 days","Over a year")))))</f>
        <v/>
      </c>
      <c r="AC73" s="43"/>
      <c r="AD73" s="32"/>
      <c r="AE73" s="32"/>
      <c r="AF73" s="33"/>
      <c r="AG73" s="32"/>
      <c r="AH73" s="33"/>
      <c r="AI73" s="32"/>
      <c r="AJ73" s="33"/>
      <c r="AK73" s="32"/>
      <c r="AL73" s="32"/>
      <c r="AM73" s="33"/>
      <c r="AN73" s="31" t="str">
        <f aca="false">IF(B73="","",IFERROR(INDEX(Lookup!$B$2:$B$3000,MATCH(TRIM(B73),Lookup!$A$2:$A$3000,0)),""))</f>
        <v/>
      </c>
      <c r="AO73" s="42" t="str">
        <f aca="false">IF(B73="","",IF(AN73="","No – will be reviewed","Yes"))</f>
        <v/>
      </c>
      <c r="AP73" s="31" t="str">
        <f aca="false">IF(AN73="","",IFERROR(INDEX(Catalog!$B$5:$B$400,MATCH(AN73,Catalog!$A$5:$A$400,0)),""))</f>
        <v/>
      </c>
      <c r="AQ73" s="31" t="str">
        <f aca="false">IF(AN73="","",IFERROR(INDEX(Catalog!$C$5:$C$400,MATCH(AN73,Catalog!$A$5:$A$400,0)),""))</f>
        <v/>
      </c>
      <c r="AR73" s="31" t="str">
        <f aca="false">IF(AN73="","",IFERROR(INDEX(Catalog!$D$5:$D$400,MATCH(AN73,Catalog!$A$5:$A$400,0)),""))</f>
        <v/>
      </c>
      <c r="AS73" s="31" t="str">
        <f aca="false">IF(AN73="","",IFERROR(INDEX(Catalog!$E$5:$E$400,MATCH(AN73,Catalog!$A$5:$A$400,0)),""))</f>
        <v/>
      </c>
      <c r="AT73" s="44" t="str">
        <f aca="false">IF(AN73="","",IFERROR(INDEX(Catalog!$F$5:$F$400,MATCH(AN73,Catalog!$A$5:$A$400,0)),""))</f>
        <v/>
      </c>
      <c r="AU73" s="31" t="str">
        <f aca="false">IF(AND(B73&lt;&gt;"",ISNUMBER(V73)),V73+ROW()/100000,"")</f>
        <v/>
      </c>
    </row>
    <row r="74" customFormat="false" ht="15" hidden="false" customHeight="false" outlineLevel="0" collapsed="false">
      <c r="A74" s="31" t="str">
        <f aca="false">IF(B74="","",ROW()-5)</f>
        <v/>
      </c>
      <c r="B74" s="32"/>
      <c r="C74" s="32"/>
      <c r="D74" s="32"/>
      <c r="E74" s="32"/>
      <c r="F74" s="32"/>
      <c r="G74" s="32"/>
      <c r="H74" s="33"/>
      <c r="I74" s="33"/>
      <c r="J74" s="32"/>
      <c r="K74" s="33"/>
      <c r="L74" s="32"/>
      <c r="M74" s="34"/>
      <c r="N74" s="34"/>
      <c r="O74" s="35" t="str">
        <f aca="false">IF(OR(M74="",N74="",M74=0),"",N74/M74)</f>
        <v/>
      </c>
      <c r="P74" s="36"/>
      <c r="Q74" s="37"/>
      <c r="R74" s="38" t="str">
        <f aca="false">IF(Q74&lt;&gt;"",Q74,IF(AND(P74&lt;&gt;"",M74&lt;&gt;""),P74*12*M74,""))</f>
        <v/>
      </c>
      <c r="S74" s="32"/>
      <c r="T74" s="32"/>
      <c r="U74" s="39"/>
      <c r="V74" s="39"/>
      <c r="W74" s="34"/>
      <c r="X74" s="32"/>
      <c r="Y74" s="34"/>
      <c r="Z74" s="40" t="str">
        <f aca="false">IF(OR(V74="",Y74=""),"",V74-Y74)</f>
        <v/>
      </c>
      <c r="AA74" s="41" t="str">
        <f aca="true">IF(V74="","",V74-TODAY())</f>
        <v/>
      </c>
      <c r="AB74" s="42" t="str">
        <f aca="false">IF(V74="","",IF(AA74&lt;0,"Past due",IF(AA74&lt;=90,"0–90 days",IF(AA74&lt;=180,"91–180 days",IF(AA74&lt;=365,"181–365 days","Over a year")))))</f>
        <v/>
      </c>
      <c r="AC74" s="43"/>
      <c r="AD74" s="32"/>
      <c r="AE74" s="32"/>
      <c r="AF74" s="33"/>
      <c r="AG74" s="32"/>
      <c r="AH74" s="33"/>
      <c r="AI74" s="32"/>
      <c r="AJ74" s="33"/>
      <c r="AK74" s="32"/>
      <c r="AL74" s="32"/>
      <c r="AM74" s="33"/>
      <c r="AN74" s="31" t="str">
        <f aca="false">IF(B74="","",IFERROR(INDEX(Lookup!$B$2:$B$3000,MATCH(TRIM(B74),Lookup!$A$2:$A$3000,0)),""))</f>
        <v/>
      </c>
      <c r="AO74" s="42" t="str">
        <f aca="false">IF(B74="","",IF(AN74="","No – will be reviewed","Yes"))</f>
        <v/>
      </c>
      <c r="AP74" s="31" t="str">
        <f aca="false">IF(AN74="","",IFERROR(INDEX(Catalog!$B$5:$B$400,MATCH(AN74,Catalog!$A$5:$A$400,0)),""))</f>
        <v/>
      </c>
      <c r="AQ74" s="31" t="str">
        <f aca="false">IF(AN74="","",IFERROR(INDEX(Catalog!$C$5:$C$400,MATCH(AN74,Catalog!$A$5:$A$400,0)),""))</f>
        <v/>
      </c>
      <c r="AR74" s="31" t="str">
        <f aca="false">IF(AN74="","",IFERROR(INDEX(Catalog!$D$5:$D$400,MATCH(AN74,Catalog!$A$5:$A$400,0)),""))</f>
        <v/>
      </c>
      <c r="AS74" s="31" t="str">
        <f aca="false">IF(AN74="","",IFERROR(INDEX(Catalog!$E$5:$E$400,MATCH(AN74,Catalog!$A$5:$A$400,0)),""))</f>
        <v/>
      </c>
      <c r="AT74" s="44" t="str">
        <f aca="false">IF(AN74="","",IFERROR(INDEX(Catalog!$F$5:$F$400,MATCH(AN74,Catalog!$A$5:$A$400,0)),""))</f>
        <v/>
      </c>
      <c r="AU74" s="31" t="str">
        <f aca="false">IF(AND(B74&lt;&gt;"",ISNUMBER(V74)),V74+ROW()/100000,"")</f>
        <v/>
      </c>
    </row>
    <row r="75" customFormat="false" ht="15" hidden="false" customHeight="false" outlineLevel="0" collapsed="false">
      <c r="A75" s="31" t="str">
        <f aca="false">IF(B75="","",ROW()-5)</f>
        <v/>
      </c>
      <c r="B75" s="32"/>
      <c r="C75" s="32"/>
      <c r="D75" s="32"/>
      <c r="E75" s="32"/>
      <c r="F75" s="32"/>
      <c r="G75" s="32"/>
      <c r="H75" s="33"/>
      <c r="I75" s="33"/>
      <c r="J75" s="32"/>
      <c r="K75" s="33"/>
      <c r="L75" s="32"/>
      <c r="M75" s="34"/>
      <c r="N75" s="34"/>
      <c r="O75" s="35" t="str">
        <f aca="false">IF(OR(M75="",N75="",M75=0),"",N75/M75)</f>
        <v/>
      </c>
      <c r="P75" s="36"/>
      <c r="Q75" s="37"/>
      <c r="R75" s="38" t="str">
        <f aca="false">IF(Q75&lt;&gt;"",Q75,IF(AND(P75&lt;&gt;"",M75&lt;&gt;""),P75*12*M75,""))</f>
        <v/>
      </c>
      <c r="S75" s="32"/>
      <c r="T75" s="32"/>
      <c r="U75" s="39"/>
      <c r="V75" s="39"/>
      <c r="W75" s="34"/>
      <c r="X75" s="32"/>
      <c r="Y75" s="34"/>
      <c r="Z75" s="40" t="str">
        <f aca="false">IF(OR(V75="",Y75=""),"",V75-Y75)</f>
        <v/>
      </c>
      <c r="AA75" s="41" t="str">
        <f aca="true">IF(V75="","",V75-TODAY())</f>
        <v/>
      </c>
      <c r="AB75" s="42" t="str">
        <f aca="false">IF(V75="","",IF(AA75&lt;0,"Past due",IF(AA75&lt;=90,"0–90 days",IF(AA75&lt;=180,"91–180 days",IF(AA75&lt;=365,"181–365 days","Over a year")))))</f>
        <v/>
      </c>
      <c r="AC75" s="43"/>
      <c r="AD75" s="32"/>
      <c r="AE75" s="32"/>
      <c r="AF75" s="33"/>
      <c r="AG75" s="32"/>
      <c r="AH75" s="33"/>
      <c r="AI75" s="32"/>
      <c r="AJ75" s="33"/>
      <c r="AK75" s="32"/>
      <c r="AL75" s="32"/>
      <c r="AM75" s="33"/>
      <c r="AN75" s="31" t="str">
        <f aca="false">IF(B75="","",IFERROR(INDEX(Lookup!$B$2:$B$3000,MATCH(TRIM(B75),Lookup!$A$2:$A$3000,0)),""))</f>
        <v/>
      </c>
      <c r="AO75" s="42" t="str">
        <f aca="false">IF(B75="","",IF(AN75="","No – will be reviewed","Yes"))</f>
        <v/>
      </c>
      <c r="AP75" s="31" t="str">
        <f aca="false">IF(AN75="","",IFERROR(INDEX(Catalog!$B$5:$B$400,MATCH(AN75,Catalog!$A$5:$A$400,0)),""))</f>
        <v/>
      </c>
      <c r="AQ75" s="31" t="str">
        <f aca="false">IF(AN75="","",IFERROR(INDEX(Catalog!$C$5:$C$400,MATCH(AN75,Catalog!$A$5:$A$400,0)),""))</f>
        <v/>
      </c>
      <c r="AR75" s="31" t="str">
        <f aca="false">IF(AN75="","",IFERROR(INDEX(Catalog!$D$5:$D$400,MATCH(AN75,Catalog!$A$5:$A$400,0)),""))</f>
        <v/>
      </c>
      <c r="AS75" s="31" t="str">
        <f aca="false">IF(AN75="","",IFERROR(INDEX(Catalog!$E$5:$E$400,MATCH(AN75,Catalog!$A$5:$A$400,0)),""))</f>
        <v/>
      </c>
      <c r="AT75" s="44" t="str">
        <f aca="false">IF(AN75="","",IFERROR(INDEX(Catalog!$F$5:$F$400,MATCH(AN75,Catalog!$A$5:$A$400,0)),""))</f>
        <v/>
      </c>
      <c r="AU75" s="31" t="str">
        <f aca="false">IF(AND(B75&lt;&gt;"",ISNUMBER(V75)),V75+ROW()/100000,"")</f>
        <v/>
      </c>
    </row>
    <row r="76" customFormat="false" ht="15" hidden="false" customHeight="false" outlineLevel="0" collapsed="false">
      <c r="A76" s="31" t="str">
        <f aca="false">IF(B76="","",ROW()-5)</f>
        <v/>
      </c>
      <c r="B76" s="32"/>
      <c r="C76" s="32"/>
      <c r="D76" s="32"/>
      <c r="E76" s="32"/>
      <c r="F76" s="32"/>
      <c r="G76" s="32"/>
      <c r="H76" s="33"/>
      <c r="I76" s="33"/>
      <c r="J76" s="32"/>
      <c r="K76" s="33"/>
      <c r="L76" s="32"/>
      <c r="M76" s="34"/>
      <c r="N76" s="34"/>
      <c r="O76" s="35" t="str">
        <f aca="false">IF(OR(M76="",N76="",M76=0),"",N76/M76)</f>
        <v/>
      </c>
      <c r="P76" s="36"/>
      <c r="Q76" s="37"/>
      <c r="R76" s="38" t="str">
        <f aca="false">IF(Q76&lt;&gt;"",Q76,IF(AND(P76&lt;&gt;"",M76&lt;&gt;""),P76*12*M76,""))</f>
        <v/>
      </c>
      <c r="S76" s="32"/>
      <c r="T76" s="32"/>
      <c r="U76" s="39"/>
      <c r="V76" s="39"/>
      <c r="W76" s="34"/>
      <c r="X76" s="32"/>
      <c r="Y76" s="34"/>
      <c r="Z76" s="40" t="str">
        <f aca="false">IF(OR(V76="",Y76=""),"",V76-Y76)</f>
        <v/>
      </c>
      <c r="AA76" s="41" t="str">
        <f aca="true">IF(V76="","",V76-TODAY())</f>
        <v/>
      </c>
      <c r="AB76" s="42" t="str">
        <f aca="false">IF(V76="","",IF(AA76&lt;0,"Past due",IF(AA76&lt;=90,"0–90 days",IF(AA76&lt;=180,"91–180 days",IF(AA76&lt;=365,"181–365 days","Over a year")))))</f>
        <v/>
      </c>
      <c r="AC76" s="43"/>
      <c r="AD76" s="32"/>
      <c r="AE76" s="32"/>
      <c r="AF76" s="33"/>
      <c r="AG76" s="32"/>
      <c r="AH76" s="33"/>
      <c r="AI76" s="32"/>
      <c r="AJ76" s="33"/>
      <c r="AK76" s="32"/>
      <c r="AL76" s="32"/>
      <c r="AM76" s="33"/>
      <c r="AN76" s="31" t="str">
        <f aca="false">IF(B76="","",IFERROR(INDEX(Lookup!$B$2:$B$3000,MATCH(TRIM(B76),Lookup!$A$2:$A$3000,0)),""))</f>
        <v/>
      </c>
      <c r="AO76" s="42" t="str">
        <f aca="false">IF(B76="","",IF(AN76="","No – will be reviewed","Yes"))</f>
        <v/>
      </c>
      <c r="AP76" s="31" t="str">
        <f aca="false">IF(AN76="","",IFERROR(INDEX(Catalog!$B$5:$B$400,MATCH(AN76,Catalog!$A$5:$A$400,0)),""))</f>
        <v/>
      </c>
      <c r="AQ76" s="31" t="str">
        <f aca="false">IF(AN76="","",IFERROR(INDEX(Catalog!$C$5:$C$400,MATCH(AN76,Catalog!$A$5:$A$400,0)),""))</f>
        <v/>
      </c>
      <c r="AR76" s="31" t="str">
        <f aca="false">IF(AN76="","",IFERROR(INDEX(Catalog!$D$5:$D$400,MATCH(AN76,Catalog!$A$5:$A$400,0)),""))</f>
        <v/>
      </c>
      <c r="AS76" s="31" t="str">
        <f aca="false">IF(AN76="","",IFERROR(INDEX(Catalog!$E$5:$E$400,MATCH(AN76,Catalog!$A$5:$A$400,0)),""))</f>
        <v/>
      </c>
      <c r="AT76" s="44" t="str">
        <f aca="false">IF(AN76="","",IFERROR(INDEX(Catalog!$F$5:$F$400,MATCH(AN76,Catalog!$A$5:$A$400,0)),""))</f>
        <v/>
      </c>
      <c r="AU76" s="31" t="str">
        <f aca="false">IF(AND(B76&lt;&gt;"",ISNUMBER(V76)),V76+ROW()/100000,"")</f>
        <v/>
      </c>
    </row>
    <row r="77" customFormat="false" ht="15" hidden="false" customHeight="false" outlineLevel="0" collapsed="false">
      <c r="A77" s="31" t="str">
        <f aca="false">IF(B77="","",ROW()-5)</f>
        <v/>
      </c>
      <c r="B77" s="32"/>
      <c r="C77" s="32"/>
      <c r="D77" s="32"/>
      <c r="E77" s="32"/>
      <c r="F77" s="32"/>
      <c r="G77" s="32"/>
      <c r="H77" s="33"/>
      <c r="I77" s="33"/>
      <c r="J77" s="32"/>
      <c r="K77" s="33"/>
      <c r="L77" s="32"/>
      <c r="M77" s="34"/>
      <c r="N77" s="34"/>
      <c r="O77" s="35" t="str">
        <f aca="false">IF(OR(M77="",N77="",M77=0),"",N77/M77)</f>
        <v/>
      </c>
      <c r="P77" s="36"/>
      <c r="Q77" s="37"/>
      <c r="R77" s="38" t="str">
        <f aca="false">IF(Q77&lt;&gt;"",Q77,IF(AND(P77&lt;&gt;"",M77&lt;&gt;""),P77*12*M77,""))</f>
        <v/>
      </c>
      <c r="S77" s="32"/>
      <c r="T77" s="32"/>
      <c r="U77" s="39"/>
      <c r="V77" s="39"/>
      <c r="W77" s="34"/>
      <c r="X77" s="32"/>
      <c r="Y77" s="34"/>
      <c r="Z77" s="40" t="str">
        <f aca="false">IF(OR(V77="",Y77=""),"",V77-Y77)</f>
        <v/>
      </c>
      <c r="AA77" s="41" t="str">
        <f aca="true">IF(V77="","",V77-TODAY())</f>
        <v/>
      </c>
      <c r="AB77" s="42" t="str">
        <f aca="false">IF(V77="","",IF(AA77&lt;0,"Past due",IF(AA77&lt;=90,"0–90 days",IF(AA77&lt;=180,"91–180 days",IF(AA77&lt;=365,"181–365 days","Over a year")))))</f>
        <v/>
      </c>
      <c r="AC77" s="43"/>
      <c r="AD77" s="32"/>
      <c r="AE77" s="32"/>
      <c r="AF77" s="33"/>
      <c r="AG77" s="32"/>
      <c r="AH77" s="33"/>
      <c r="AI77" s="32"/>
      <c r="AJ77" s="33"/>
      <c r="AK77" s="32"/>
      <c r="AL77" s="32"/>
      <c r="AM77" s="33"/>
      <c r="AN77" s="31" t="str">
        <f aca="false">IF(B77="","",IFERROR(INDEX(Lookup!$B$2:$B$3000,MATCH(TRIM(B77),Lookup!$A$2:$A$3000,0)),""))</f>
        <v/>
      </c>
      <c r="AO77" s="42" t="str">
        <f aca="false">IF(B77="","",IF(AN77="","No – will be reviewed","Yes"))</f>
        <v/>
      </c>
      <c r="AP77" s="31" t="str">
        <f aca="false">IF(AN77="","",IFERROR(INDEX(Catalog!$B$5:$B$400,MATCH(AN77,Catalog!$A$5:$A$400,0)),""))</f>
        <v/>
      </c>
      <c r="AQ77" s="31" t="str">
        <f aca="false">IF(AN77="","",IFERROR(INDEX(Catalog!$C$5:$C$400,MATCH(AN77,Catalog!$A$5:$A$400,0)),""))</f>
        <v/>
      </c>
      <c r="AR77" s="31" t="str">
        <f aca="false">IF(AN77="","",IFERROR(INDEX(Catalog!$D$5:$D$400,MATCH(AN77,Catalog!$A$5:$A$400,0)),""))</f>
        <v/>
      </c>
      <c r="AS77" s="31" t="str">
        <f aca="false">IF(AN77="","",IFERROR(INDEX(Catalog!$E$5:$E$400,MATCH(AN77,Catalog!$A$5:$A$400,0)),""))</f>
        <v/>
      </c>
      <c r="AT77" s="44" t="str">
        <f aca="false">IF(AN77="","",IFERROR(INDEX(Catalog!$F$5:$F$400,MATCH(AN77,Catalog!$A$5:$A$400,0)),""))</f>
        <v/>
      </c>
      <c r="AU77" s="31" t="str">
        <f aca="false">IF(AND(B77&lt;&gt;"",ISNUMBER(V77)),V77+ROW()/100000,"")</f>
        <v/>
      </c>
    </row>
    <row r="78" customFormat="false" ht="15" hidden="false" customHeight="false" outlineLevel="0" collapsed="false">
      <c r="A78" s="31" t="str">
        <f aca="false">IF(B78="","",ROW()-5)</f>
        <v/>
      </c>
      <c r="B78" s="32"/>
      <c r="C78" s="32"/>
      <c r="D78" s="32"/>
      <c r="E78" s="32"/>
      <c r="F78" s="32"/>
      <c r="G78" s="32"/>
      <c r="H78" s="33"/>
      <c r="I78" s="33"/>
      <c r="J78" s="32"/>
      <c r="K78" s="33"/>
      <c r="L78" s="32"/>
      <c r="M78" s="34"/>
      <c r="N78" s="34"/>
      <c r="O78" s="35" t="str">
        <f aca="false">IF(OR(M78="",N78="",M78=0),"",N78/M78)</f>
        <v/>
      </c>
      <c r="P78" s="36"/>
      <c r="Q78" s="37"/>
      <c r="R78" s="38" t="str">
        <f aca="false">IF(Q78&lt;&gt;"",Q78,IF(AND(P78&lt;&gt;"",M78&lt;&gt;""),P78*12*M78,""))</f>
        <v/>
      </c>
      <c r="S78" s="32"/>
      <c r="T78" s="32"/>
      <c r="U78" s="39"/>
      <c r="V78" s="39"/>
      <c r="W78" s="34"/>
      <c r="X78" s="32"/>
      <c r="Y78" s="34"/>
      <c r="Z78" s="40" t="str">
        <f aca="false">IF(OR(V78="",Y78=""),"",V78-Y78)</f>
        <v/>
      </c>
      <c r="AA78" s="41" t="str">
        <f aca="true">IF(V78="","",V78-TODAY())</f>
        <v/>
      </c>
      <c r="AB78" s="42" t="str">
        <f aca="false">IF(V78="","",IF(AA78&lt;0,"Past due",IF(AA78&lt;=90,"0–90 days",IF(AA78&lt;=180,"91–180 days",IF(AA78&lt;=365,"181–365 days","Over a year")))))</f>
        <v/>
      </c>
      <c r="AC78" s="43"/>
      <c r="AD78" s="32"/>
      <c r="AE78" s="32"/>
      <c r="AF78" s="33"/>
      <c r="AG78" s="32"/>
      <c r="AH78" s="33"/>
      <c r="AI78" s="32"/>
      <c r="AJ78" s="33"/>
      <c r="AK78" s="32"/>
      <c r="AL78" s="32"/>
      <c r="AM78" s="33"/>
      <c r="AN78" s="31" t="str">
        <f aca="false">IF(B78="","",IFERROR(INDEX(Lookup!$B$2:$B$3000,MATCH(TRIM(B78),Lookup!$A$2:$A$3000,0)),""))</f>
        <v/>
      </c>
      <c r="AO78" s="42" t="str">
        <f aca="false">IF(B78="","",IF(AN78="","No – will be reviewed","Yes"))</f>
        <v/>
      </c>
      <c r="AP78" s="31" t="str">
        <f aca="false">IF(AN78="","",IFERROR(INDEX(Catalog!$B$5:$B$400,MATCH(AN78,Catalog!$A$5:$A$400,0)),""))</f>
        <v/>
      </c>
      <c r="AQ78" s="31" t="str">
        <f aca="false">IF(AN78="","",IFERROR(INDEX(Catalog!$C$5:$C$400,MATCH(AN78,Catalog!$A$5:$A$400,0)),""))</f>
        <v/>
      </c>
      <c r="AR78" s="31" t="str">
        <f aca="false">IF(AN78="","",IFERROR(INDEX(Catalog!$D$5:$D$400,MATCH(AN78,Catalog!$A$5:$A$400,0)),""))</f>
        <v/>
      </c>
      <c r="AS78" s="31" t="str">
        <f aca="false">IF(AN78="","",IFERROR(INDEX(Catalog!$E$5:$E$400,MATCH(AN78,Catalog!$A$5:$A$400,0)),""))</f>
        <v/>
      </c>
      <c r="AT78" s="44" t="str">
        <f aca="false">IF(AN78="","",IFERROR(INDEX(Catalog!$F$5:$F$400,MATCH(AN78,Catalog!$A$5:$A$400,0)),""))</f>
        <v/>
      </c>
      <c r="AU78" s="31" t="str">
        <f aca="false">IF(AND(B78&lt;&gt;"",ISNUMBER(V78)),V78+ROW()/100000,"")</f>
        <v/>
      </c>
    </row>
    <row r="79" customFormat="false" ht="15" hidden="false" customHeight="false" outlineLevel="0" collapsed="false">
      <c r="A79" s="31" t="str">
        <f aca="false">IF(B79="","",ROW()-5)</f>
        <v/>
      </c>
      <c r="B79" s="32"/>
      <c r="C79" s="32"/>
      <c r="D79" s="32"/>
      <c r="E79" s="32"/>
      <c r="F79" s="32"/>
      <c r="G79" s="32"/>
      <c r="H79" s="33"/>
      <c r="I79" s="33"/>
      <c r="J79" s="32"/>
      <c r="K79" s="33"/>
      <c r="L79" s="32"/>
      <c r="M79" s="34"/>
      <c r="N79" s="34"/>
      <c r="O79" s="35" t="str">
        <f aca="false">IF(OR(M79="",N79="",M79=0),"",N79/M79)</f>
        <v/>
      </c>
      <c r="P79" s="36"/>
      <c r="Q79" s="37"/>
      <c r="R79" s="38" t="str">
        <f aca="false">IF(Q79&lt;&gt;"",Q79,IF(AND(P79&lt;&gt;"",M79&lt;&gt;""),P79*12*M79,""))</f>
        <v/>
      </c>
      <c r="S79" s="32"/>
      <c r="T79" s="32"/>
      <c r="U79" s="39"/>
      <c r="V79" s="39"/>
      <c r="W79" s="34"/>
      <c r="X79" s="32"/>
      <c r="Y79" s="34"/>
      <c r="Z79" s="40" t="str">
        <f aca="false">IF(OR(V79="",Y79=""),"",V79-Y79)</f>
        <v/>
      </c>
      <c r="AA79" s="41" t="str">
        <f aca="true">IF(V79="","",V79-TODAY())</f>
        <v/>
      </c>
      <c r="AB79" s="42" t="str">
        <f aca="false">IF(V79="","",IF(AA79&lt;0,"Past due",IF(AA79&lt;=90,"0–90 days",IF(AA79&lt;=180,"91–180 days",IF(AA79&lt;=365,"181–365 days","Over a year")))))</f>
        <v/>
      </c>
      <c r="AC79" s="43"/>
      <c r="AD79" s="32"/>
      <c r="AE79" s="32"/>
      <c r="AF79" s="33"/>
      <c r="AG79" s="32"/>
      <c r="AH79" s="33"/>
      <c r="AI79" s="32"/>
      <c r="AJ79" s="33"/>
      <c r="AK79" s="32"/>
      <c r="AL79" s="32"/>
      <c r="AM79" s="33"/>
      <c r="AN79" s="31" t="str">
        <f aca="false">IF(B79="","",IFERROR(INDEX(Lookup!$B$2:$B$3000,MATCH(TRIM(B79),Lookup!$A$2:$A$3000,0)),""))</f>
        <v/>
      </c>
      <c r="AO79" s="42" t="str">
        <f aca="false">IF(B79="","",IF(AN79="","No – will be reviewed","Yes"))</f>
        <v/>
      </c>
      <c r="AP79" s="31" t="str">
        <f aca="false">IF(AN79="","",IFERROR(INDEX(Catalog!$B$5:$B$400,MATCH(AN79,Catalog!$A$5:$A$400,0)),""))</f>
        <v/>
      </c>
      <c r="AQ79" s="31" t="str">
        <f aca="false">IF(AN79="","",IFERROR(INDEX(Catalog!$C$5:$C$400,MATCH(AN79,Catalog!$A$5:$A$400,0)),""))</f>
        <v/>
      </c>
      <c r="AR79" s="31" t="str">
        <f aca="false">IF(AN79="","",IFERROR(INDEX(Catalog!$D$5:$D$400,MATCH(AN79,Catalog!$A$5:$A$400,0)),""))</f>
        <v/>
      </c>
      <c r="AS79" s="31" t="str">
        <f aca="false">IF(AN79="","",IFERROR(INDEX(Catalog!$E$5:$E$400,MATCH(AN79,Catalog!$A$5:$A$400,0)),""))</f>
        <v/>
      </c>
      <c r="AT79" s="44" t="str">
        <f aca="false">IF(AN79="","",IFERROR(INDEX(Catalog!$F$5:$F$400,MATCH(AN79,Catalog!$A$5:$A$400,0)),""))</f>
        <v/>
      </c>
      <c r="AU79" s="31" t="str">
        <f aca="false">IF(AND(B79&lt;&gt;"",ISNUMBER(V79)),V79+ROW()/100000,"")</f>
        <v/>
      </c>
    </row>
    <row r="80" customFormat="false" ht="15" hidden="false" customHeight="false" outlineLevel="0" collapsed="false">
      <c r="A80" s="31" t="str">
        <f aca="false">IF(B80="","",ROW()-5)</f>
        <v/>
      </c>
      <c r="B80" s="32"/>
      <c r="C80" s="32"/>
      <c r="D80" s="32"/>
      <c r="E80" s="32"/>
      <c r="F80" s="32"/>
      <c r="G80" s="32"/>
      <c r="H80" s="33"/>
      <c r="I80" s="33"/>
      <c r="J80" s="32"/>
      <c r="K80" s="33"/>
      <c r="L80" s="32"/>
      <c r="M80" s="34"/>
      <c r="N80" s="34"/>
      <c r="O80" s="35" t="str">
        <f aca="false">IF(OR(M80="",N80="",M80=0),"",N80/M80)</f>
        <v/>
      </c>
      <c r="P80" s="36"/>
      <c r="Q80" s="37"/>
      <c r="R80" s="38" t="str">
        <f aca="false">IF(Q80&lt;&gt;"",Q80,IF(AND(P80&lt;&gt;"",M80&lt;&gt;""),P80*12*M80,""))</f>
        <v/>
      </c>
      <c r="S80" s="32"/>
      <c r="T80" s="32"/>
      <c r="U80" s="39"/>
      <c r="V80" s="39"/>
      <c r="W80" s="34"/>
      <c r="X80" s="32"/>
      <c r="Y80" s="34"/>
      <c r="Z80" s="40" t="str">
        <f aca="false">IF(OR(V80="",Y80=""),"",V80-Y80)</f>
        <v/>
      </c>
      <c r="AA80" s="41" t="str">
        <f aca="true">IF(V80="","",V80-TODAY())</f>
        <v/>
      </c>
      <c r="AB80" s="42" t="str">
        <f aca="false">IF(V80="","",IF(AA80&lt;0,"Past due",IF(AA80&lt;=90,"0–90 days",IF(AA80&lt;=180,"91–180 days",IF(AA80&lt;=365,"181–365 days","Over a year")))))</f>
        <v/>
      </c>
      <c r="AC80" s="43"/>
      <c r="AD80" s="32"/>
      <c r="AE80" s="32"/>
      <c r="AF80" s="33"/>
      <c r="AG80" s="32"/>
      <c r="AH80" s="33"/>
      <c r="AI80" s="32"/>
      <c r="AJ80" s="33"/>
      <c r="AK80" s="32"/>
      <c r="AL80" s="32"/>
      <c r="AM80" s="33"/>
      <c r="AN80" s="31" t="str">
        <f aca="false">IF(B80="","",IFERROR(INDEX(Lookup!$B$2:$B$3000,MATCH(TRIM(B80),Lookup!$A$2:$A$3000,0)),""))</f>
        <v/>
      </c>
      <c r="AO80" s="42" t="str">
        <f aca="false">IF(B80="","",IF(AN80="","No – will be reviewed","Yes"))</f>
        <v/>
      </c>
      <c r="AP80" s="31" t="str">
        <f aca="false">IF(AN80="","",IFERROR(INDEX(Catalog!$B$5:$B$400,MATCH(AN80,Catalog!$A$5:$A$400,0)),""))</f>
        <v/>
      </c>
      <c r="AQ80" s="31" t="str">
        <f aca="false">IF(AN80="","",IFERROR(INDEX(Catalog!$C$5:$C$400,MATCH(AN80,Catalog!$A$5:$A$400,0)),""))</f>
        <v/>
      </c>
      <c r="AR80" s="31" t="str">
        <f aca="false">IF(AN80="","",IFERROR(INDEX(Catalog!$D$5:$D$400,MATCH(AN80,Catalog!$A$5:$A$400,0)),""))</f>
        <v/>
      </c>
      <c r="AS80" s="31" t="str">
        <f aca="false">IF(AN80="","",IFERROR(INDEX(Catalog!$E$5:$E$400,MATCH(AN80,Catalog!$A$5:$A$400,0)),""))</f>
        <v/>
      </c>
      <c r="AT80" s="44" t="str">
        <f aca="false">IF(AN80="","",IFERROR(INDEX(Catalog!$F$5:$F$400,MATCH(AN80,Catalog!$A$5:$A$400,0)),""))</f>
        <v/>
      </c>
      <c r="AU80" s="31" t="str">
        <f aca="false">IF(AND(B80&lt;&gt;"",ISNUMBER(V80)),V80+ROW()/100000,"")</f>
        <v/>
      </c>
    </row>
    <row r="81" customFormat="false" ht="15" hidden="false" customHeight="false" outlineLevel="0" collapsed="false">
      <c r="A81" s="31" t="str">
        <f aca="false">IF(B81="","",ROW()-5)</f>
        <v/>
      </c>
      <c r="B81" s="32"/>
      <c r="C81" s="32"/>
      <c r="D81" s="32"/>
      <c r="E81" s="32"/>
      <c r="F81" s="32"/>
      <c r="G81" s="32"/>
      <c r="H81" s="33"/>
      <c r="I81" s="33"/>
      <c r="J81" s="32"/>
      <c r="K81" s="33"/>
      <c r="L81" s="32"/>
      <c r="M81" s="34"/>
      <c r="N81" s="34"/>
      <c r="O81" s="35" t="str">
        <f aca="false">IF(OR(M81="",N81="",M81=0),"",N81/M81)</f>
        <v/>
      </c>
      <c r="P81" s="36"/>
      <c r="Q81" s="37"/>
      <c r="R81" s="38" t="str">
        <f aca="false">IF(Q81&lt;&gt;"",Q81,IF(AND(P81&lt;&gt;"",M81&lt;&gt;""),P81*12*M81,""))</f>
        <v/>
      </c>
      <c r="S81" s="32"/>
      <c r="T81" s="32"/>
      <c r="U81" s="39"/>
      <c r="V81" s="39"/>
      <c r="W81" s="34"/>
      <c r="X81" s="32"/>
      <c r="Y81" s="34"/>
      <c r="Z81" s="40" t="str">
        <f aca="false">IF(OR(V81="",Y81=""),"",V81-Y81)</f>
        <v/>
      </c>
      <c r="AA81" s="41" t="str">
        <f aca="true">IF(V81="","",V81-TODAY())</f>
        <v/>
      </c>
      <c r="AB81" s="42" t="str">
        <f aca="false">IF(V81="","",IF(AA81&lt;0,"Past due",IF(AA81&lt;=90,"0–90 days",IF(AA81&lt;=180,"91–180 days",IF(AA81&lt;=365,"181–365 days","Over a year")))))</f>
        <v/>
      </c>
      <c r="AC81" s="43"/>
      <c r="AD81" s="32"/>
      <c r="AE81" s="32"/>
      <c r="AF81" s="33"/>
      <c r="AG81" s="32"/>
      <c r="AH81" s="33"/>
      <c r="AI81" s="32"/>
      <c r="AJ81" s="33"/>
      <c r="AK81" s="32"/>
      <c r="AL81" s="32"/>
      <c r="AM81" s="33"/>
      <c r="AN81" s="31" t="str">
        <f aca="false">IF(B81="","",IFERROR(INDEX(Lookup!$B$2:$B$3000,MATCH(TRIM(B81),Lookup!$A$2:$A$3000,0)),""))</f>
        <v/>
      </c>
      <c r="AO81" s="42" t="str">
        <f aca="false">IF(B81="","",IF(AN81="","No – will be reviewed","Yes"))</f>
        <v/>
      </c>
      <c r="AP81" s="31" t="str">
        <f aca="false">IF(AN81="","",IFERROR(INDEX(Catalog!$B$5:$B$400,MATCH(AN81,Catalog!$A$5:$A$400,0)),""))</f>
        <v/>
      </c>
      <c r="AQ81" s="31" t="str">
        <f aca="false">IF(AN81="","",IFERROR(INDEX(Catalog!$C$5:$C$400,MATCH(AN81,Catalog!$A$5:$A$400,0)),""))</f>
        <v/>
      </c>
      <c r="AR81" s="31" t="str">
        <f aca="false">IF(AN81="","",IFERROR(INDEX(Catalog!$D$5:$D$400,MATCH(AN81,Catalog!$A$5:$A$400,0)),""))</f>
        <v/>
      </c>
      <c r="AS81" s="31" t="str">
        <f aca="false">IF(AN81="","",IFERROR(INDEX(Catalog!$E$5:$E$400,MATCH(AN81,Catalog!$A$5:$A$400,0)),""))</f>
        <v/>
      </c>
      <c r="AT81" s="44" t="str">
        <f aca="false">IF(AN81="","",IFERROR(INDEX(Catalog!$F$5:$F$400,MATCH(AN81,Catalog!$A$5:$A$400,0)),""))</f>
        <v/>
      </c>
      <c r="AU81" s="31" t="str">
        <f aca="false">IF(AND(B81&lt;&gt;"",ISNUMBER(V81)),V81+ROW()/100000,"")</f>
        <v/>
      </c>
    </row>
    <row r="82" customFormat="false" ht="15" hidden="false" customHeight="false" outlineLevel="0" collapsed="false">
      <c r="A82" s="31" t="str">
        <f aca="false">IF(B82="","",ROW()-5)</f>
        <v/>
      </c>
      <c r="B82" s="32"/>
      <c r="C82" s="32"/>
      <c r="D82" s="32"/>
      <c r="E82" s="32"/>
      <c r="F82" s="32"/>
      <c r="G82" s="32"/>
      <c r="H82" s="33"/>
      <c r="I82" s="33"/>
      <c r="J82" s="32"/>
      <c r="K82" s="33"/>
      <c r="L82" s="32"/>
      <c r="M82" s="34"/>
      <c r="N82" s="34"/>
      <c r="O82" s="35" t="str">
        <f aca="false">IF(OR(M82="",N82="",M82=0),"",N82/M82)</f>
        <v/>
      </c>
      <c r="P82" s="36"/>
      <c r="Q82" s="37"/>
      <c r="R82" s="38" t="str">
        <f aca="false">IF(Q82&lt;&gt;"",Q82,IF(AND(P82&lt;&gt;"",M82&lt;&gt;""),P82*12*M82,""))</f>
        <v/>
      </c>
      <c r="S82" s="32"/>
      <c r="T82" s="32"/>
      <c r="U82" s="39"/>
      <c r="V82" s="39"/>
      <c r="W82" s="34"/>
      <c r="X82" s="32"/>
      <c r="Y82" s="34"/>
      <c r="Z82" s="40" t="str">
        <f aca="false">IF(OR(V82="",Y82=""),"",V82-Y82)</f>
        <v/>
      </c>
      <c r="AA82" s="41" t="str">
        <f aca="true">IF(V82="","",V82-TODAY())</f>
        <v/>
      </c>
      <c r="AB82" s="42" t="str">
        <f aca="false">IF(V82="","",IF(AA82&lt;0,"Past due",IF(AA82&lt;=90,"0–90 days",IF(AA82&lt;=180,"91–180 days",IF(AA82&lt;=365,"181–365 days","Over a year")))))</f>
        <v/>
      </c>
      <c r="AC82" s="43"/>
      <c r="AD82" s="32"/>
      <c r="AE82" s="32"/>
      <c r="AF82" s="33"/>
      <c r="AG82" s="32"/>
      <c r="AH82" s="33"/>
      <c r="AI82" s="32"/>
      <c r="AJ82" s="33"/>
      <c r="AK82" s="32"/>
      <c r="AL82" s="32"/>
      <c r="AM82" s="33"/>
      <c r="AN82" s="31" t="str">
        <f aca="false">IF(B82="","",IFERROR(INDEX(Lookup!$B$2:$B$3000,MATCH(TRIM(B82),Lookup!$A$2:$A$3000,0)),""))</f>
        <v/>
      </c>
      <c r="AO82" s="42" t="str">
        <f aca="false">IF(B82="","",IF(AN82="","No – will be reviewed","Yes"))</f>
        <v/>
      </c>
      <c r="AP82" s="31" t="str">
        <f aca="false">IF(AN82="","",IFERROR(INDEX(Catalog!$B$5:$B$400,MATCH(AN82,Catalog!$A$5:$A$400,0)),""))</f>
        <v/>
      </c>
      <c r="AQ82" s="31" t="str">
        <f aca="false">IF(AN82="","",IFERROR(INDEX(Catalog!$C$5:$C$400,MATCH(AN82,Catalog!$A$5:$A$400,0)),""))</f>
        <v/>
      </c>
      <c r="AR82" s="31" t="str">
        <f aca="false">IF(AN82="","",IFERROR(INDEX(Catalog!$D$5:$D$400,MATCH(AN82,Catalog!$A$5:$A$400,0)),""))</f>
        <v/>
      </c>
      <c r="AS82" s="31" t="str">
        <f aca="false">IF(AN82="","",IFERROR(INDEX(Catalog!$E$5:$E$400,MATCH(AN82,Catalog!$A$5:$A$400,0)),""))</f>
        <v/>
      </c>
      <c r="AT82" s="44" t="str">
        <f aca="false">IF(AN82="","",IFERROR(INDEX(Catalog!$F$5:$F$400,MATCH(AN82,Catalog!$A$5:$A$400,0)),""))</f>
        <v/>
      </c>
      <c r="AU82" s="31" t="str">
        <f aca="false">IF(AND(B82&lt;&gt;"",ISNUMBER(V82)),V82+ROW()/100000,"")</f>
        <v/>
      </c>
    </row>
    <row r="83" customFormat="false" ht="15" hidden="false" customHeight="false" outlineLevel="0" collapsed="false">
      <c r="A83" s="31" t="str">
        <f aca="false">IF(B83="","",ROW()-5)</f>
        <v/>
      </c>
      <c r="B83" s="32"/>
      <c r="C83" s="32"/>
      <c r="D83" s="32"/>
      <c r="E83" s="32"/>
      <c r="F83" s="32"/>
      <c r="G83" s="32"/>
      <c r="H83" s="33"/>
      <c r="I83" s="33"/>
      <c r="J83" s="32"/>
      <c r="K83" s="33"/>
      <c r="L83" s="32"/>
      <c r="M83" s="34"/>
      <c r="N83" s="34"/>
      <c r="O83" s="35" t="str">
        <f aca="false">IF(OR(M83="",N83="",M83=0),"",N83/M83)</f>
        <v/>
      </c>
      <c r="P83" s="36"/>
      <c r="Q83" s="37"/>
      <c r="R83" s="38" t="str">
        <f aca="false">IF(Q83&lt;&gt;"",Q83,IF(AND(P83&lt;&gt;"",M83&lt;&gt;""),P83*12*M83,""))</f>
        <v/>
      </c>
      <c r="S83" s="32"/>
      <c r="T83" s="32"/>
      <c r="U83" s="39"/>
      <c r="V83" s="39"/>
      <c r="W83" s="34"/>
      <c r="X83" s="32"/>
      <c r="Y83" s="34"/>
      <c r="Z83" s="40" t="str">
        <f aca="false">IF(OR(V83="",Y83=""),"",V83-Y83)</f>
        <v/>
      </c>
      <c r="AA83" s="41" t="str">
        <f aca="true">IF(V83="","",V83-TODAY())</f>
        <v/>
      </c>
      <c r="AB83" s="42" t="str">
        <f aca="false">IF(V83="","",IF(AA83&lt;0,"Past due",IF(AA83&lt;=90,"0–90 days",IF(AA83&lt;=180,"91–180 days",IF(AA83&lt;=365,"181–365 days","Over a year")))))</f>
        <v/>
      </c>
      <c r="AC83" s="43"/>
      <c r="AD83" s="32"/>
      <c r="AE83" s="32"/>
      <c r="AF83" s="33"/>
      <c r="AG83" s="32"/>
      <c r="AH83" s="33"/>
      <c r="AI83" s="32"/>
      <c r="AJ83" s="33"/>
      <c r="AK83" s="32"/>
      <c r="AL83" s="32"/>
      <c r="AM83" s="33"/>
      <c r="AN83" s="31" t="str">
        <f aca="false">IF(B83="","",IFERROR(INDEX(Lookup!$B$2:$B$3000,MATCH(TRIM(B83),Lookup!$A$2:$A$3000,0)),""))</f>
        <v/>
      </c>
      <c r="AO83" s="42" t="str">
        <f aca="false">IF(B83="","",IF(AN83="","No – will be reviewed","Yes"))</f>
        <v/>
      </c>
      <c r="AP83" s="31" t="str">
        <f aca="false">IF(AN83="","",IFERROR(INDEX(Catalog!$B$5:$B$400,MATCH(AN83,Catalog!$A$5:$A$400,0)),""))</f>
        <v/>
      </c>
      <c r="AQ83" s="31" t="str">
        <f aca="false">IF(AN83="","",IFERROR(INDEX(Catalog!$C$5:$C$400,MATCH(AN83,Catalog!$A$5:$A$400,0)),""))</f>
        <v/>
      </c>
      <c r="AR83" s="31" t="str">
        <f aca="false">IF(AN83="","",IFERROR(INDEX(Catalog!$D$5:$D$400,MATCH(AN83,Catalog!$A$5:$A$400,0)),""))</f>
        <v/>
      </c>
      <c r="AS83" s="31" t="str">
        <f aca="false">IF(AN83="","",IFERROR(INDEX(Catalog!$E$5:$E$400,MATCH(AN83,Catalog!$A$5:$A$400,0)),""))</f>
        <v/>
      </c>
      <c r="AT83" s="44" t="str">
        <f aca="false">IF(AN83="","",IFERROR(INDEX(Catalog!$F$5:$F$400,MATCH(AN83,Catalog!$A$5:$A$400,0)),""))</f>
        <v/>
      </c>
      <c r="AU83" s="31" t="str">
        <f aca="false">IF(AND(B83&lt;&gt;"",ISNUMBER(V83)),V83+ROW()/100000,"")</f>
        <v/>
      </c>
    </row>
    <row r="84" customFormat="false" ht="15" hidden="false" customHeight="false" outlineLevel="0" collapsed="false">
      <c r="A84" s="31" t="str">
        <f aca="false">IF(B84="","",ROW()-5)</f>
        <v/>
      </c>
      <c r="B84" s="32"/>
      <c r="C84" s="32"/>
      <c r="D84" s="32"/>
      <c r="E84" s="32"/>
      <c r="F84" s="32"/>
      <c r="G84" s="32"/>
      <c r="H84" s="33"/>
      <c r="I84" s="33"/>
      <c r="J84" s="32"/>
      <c r="K84" s="33"/>
      <c r="L84" s="32"/>
      <c r="M84" s="34"/>
      <c r="N84" s="34"/>
      <c r="O84" s="35" t="str">
        <f aca="false">IF(OR(M84="",N84="",M84=0),"",N84/M84)</f>
        <v/>
      </c>
      <c r="P84" s="36"/>
      <c r="Q84" s="37"/>
      <c r="R84" s="38" t="str">
        <f aca="false">IF(Q84&lt;&gt;"",Q84,IF(AND(P84&lt;&gt;"",M84&lt;&gt;""),P84*12*M84,""))</f>
        <v/>
      </c>
      <c r="S84" s="32"/>
      <c r="T84" s="32"/>
      <c r="U84" s="39"/>
      <c r="V84" s="39"/>
      <c r="W84" s="34"/>
      <c r="X84" s="32"/>
      <c r="Y84" s="34"/>
      <c r="Z84" s="40" t="str">
        <f aca="false">IF(OR(V84="",Y84=""),"",V84-Y84)</f>
        <v/>
      </c>
      <c r="AA84" s="41" t="str">
        <f aca="true">IF(V84="","",V84-TODAY())</f>
        <v/>
      </c>
      <c r="AB84" s="42" t="str">
        <f aca="false">IF(V84="","",IF(AA84&lt;0,"Past due",IF(AA84&lt;=90,"0–90 days",IF(AA84&lt;=180,"91–180 days",IF(AA84&lt;=365,"181–365 days","Over a year")))))</f>
        <v/>
      </c>
      <c r="AC84" s="43"/>
      <c r="AD84" s="32"/>
      <c r="AE84" s="32"/>
      <c r="AF84" s="33"/>
      <c r="AG84" s="32"/>
      <c r="AH84" s="33"/>
      <c r="AI84" s="32"/>
      <c r="AJ84" s="33"/>
      <c r="AK84" s="32"/>
      <c r="AL84" s="32"/>
      <c r="AM84" s="33"/>
      <c r="AN84" s="31" t="str">
        <f aca="false">IF(B84="","",IFERROR(INDEX(Lookup!$B$2:$B$3000,MATCH(TRIM(B84),Lookup!$A$2:$A$3000,0)),""))</f>
        <v/>
      </c>
      <c r="AO84" s="42" t="str">
        <f aca="false">IF(B84="","",IF(AN84="","No – will be reviewed","Yes"))</f>
        <v/>
      </c>
      <c r="AP84" s="31" t="str">
        <f aca="false">IF(AN84="","",IFERROR(INDEX(Catalog!$B$5:$B$400,MATCH(AN84,Catalog!$A$5:$A$400,0)),""))</f>
        <v/>
      </c>
      <c r="AQ84" s="31" t="str">
        <f aca="false">IF(AN84="","",IFERROR(INDEX(Catalog!$C$5:$C$400,MATCH(AN84,Catalog!$A$5:$A$400,0)),""))</f>
        <v/>
      </c>
      <c r="AR84" s="31" t="str">
        <f aca="false">IF(AN84="","",IFERROR(INDEX(Catalog!$D$5:$D$400,MATCH(AN84,Catalog!$A$5:$A$400,0)),""))</f>
        <v/>
      </c>
      <c r="AS84" s="31" t="str">
        <f aca="false">IF(AN84="","",IFERROR(INDEX(Catalog!$E$5:$E$400,MATCH(AN84,Catalog!$A$5:$A$400,0)),""))</f>
        <v/>
      </c>
      <c r="AT84" s="44" t="str">
        <f aca="false">IF(AN84="","",IFERROR(INDEX(Catalog!$F$5:$F$400,MATCH(AN84,Catalog!$A$5:$A$400,0)),""))</f>
        <v/>
      </c>
      <c r="AU84" s="31" t="str">
        <f aca="false">IF(AND(B84&lt;&gt;"",ISNUMBER(V84)),V84+ROW()/100000,"")</f>
        <v/>
      </c>
    </row>
    <row r="85" customFormat="false" ht="15" hidden="false" customHeight="false" outlineLevel="0" collapsed="false">
      <c r="A85" s="31" t="str">
        <f aca="false">IF(B85="","",ROW()-5)</f>
        <v/>
      </c>
      <c r="B85" s="32"/>
      <c r="C85" s="32"/>
      <c r="D85" s="32"/>
      <c r="E85" s="32"/>
      <c r="F85" s="32"/>
      <c r="G85" s="32"/>
      <c r="H85" s="33"/>
      <c r="I85" s="33"/>
      <c r="J85" s="32"/>
      <c r="K85" s="33"/>
      <c r="L85" s="32"/>
      <c r="M85" s="34"/>
      <c r="N85" s="34"/>
      <c r="O85" s="35" t="str">
        <f aca="false">IF(OR(M85="",N85="",M85=0),"",N85/M85)</f>
        <v/>
      </c>
      <c r="P85" s="36"/>
      <c r="Q85" s="37"/>
      <c r="R85" s="38" t="str">
        <f aca="false">IF(Q85&lt;&gt;"",Q85,IF(AND(P85&lt;&gt;"",M85&lt;&gt;""),P85*12*M85,""))</f>
        <v/>
      </c>
      <c r="S85" s="32"/>
      <c r="T85" s="32"/>
      <c r="U85" s="39"/>
      <c r="V85" s="39"/>
      <c r="W85" s="34"/>
      <c r="X85" s="32"/>
      <c r="Y85" s="34"/>
      <c r="Z85" s="40" t="str">
        <f aca="false">IF(OR(V85="",Y85=""),"",V85-Y85)</f>
        <v/>
      </c>
      <c r="AA85" s="41" t="str">
        <f aca="true">IF(V85="","",V85-TODAY())</f>
        <v/>
      </c>
      <c r="AB85" s="42" t="str">
        <f aca="false">IF(V85="","",IF(AA85&lt;0,"Past due",IF(AA85&lt;=90,"0–90 days",IF(AA85&lt;=180,"91–180 days",IF(AA85&lt;=365,"181–365 days","Over a year")))))</f>
        <v/>
      </c>
      <c r="AC85" s="43"/>
      <c r="AD85" s="32"/>
      <c r="AE85" s="32"/>
      <c r="AF85" s="33"/>
      <c r="AG85" s="32"/>
      <c r="AH85" s="33"/>
      <c r="AI85" s="32"/>
      <c r="AJ85" s="33"/>
      <c r="AK85" s="32"/>
      <c r="AL85" s="32"/>
      <c r="AM85" s="33"/>
      <c r="AN85" s="31" t="str">
        <f aca="false">IF(B85="","",IFERROR(INDEX(Lookup!$B$2:$B$3000,MATCH(TRIM(B85),Lookup!$A$2:$A$3000,0)),""))</f>
        <v/>
      </c>
      <c r="AO85" s="42" t="str">
        <f aca="false">IF(B85="","",IF(AN85="","No – will be reviewed","Yes"))</f>
        <v/>
      </c>
      <c r="AP85" s="31" t="str">
        <f aca="false">IF(AN85="","",IFERROR(INDEX(Catalog!$B$5:$B$400,MATCH(AN85,Catalog!$A$5:$A$400,0)),""))</f>
        <v/>
      </c>
      <c r="AQ85" s="31" t="str">
        <f aca="false">IF(AN85="","",IFERROR(INDEX(Catalog!$C$5:$C$400,MATCH(AN85,Catalog!$A$5:$A$400,0)),""))</f>
        <v/>
      </c>
      <c r="AR85" s="31" t="str">
        <f aca="false">IF(AN85="","",IFERROR(INDEX(Catalog!$D$5:$D$400,MATCH(AN85,Catalog!$A$5:$A$400,0)),""))</f>
        <v/>
      </c>
      <c r="AS85" s="31" t="str">
        <f aca="false">IF(AN85="","",IFERROR(INDEX(Catalog!$E$5:$E$400,MATCH(AN85,Catalog!$A$5:$A$400,0)),""))</f>
        <v/>
      </c>
      <c r="AT85" s="44" t="str">
        <f aca="false">IF(AN85="","",IFERROR(INDEX(Catalog!$F$5:$F$400,MATCH(AN85,Catalog!$A$5:$A$400,0)),""))</f>
        <v/>
      </c>
      <c r="AU85" s="31" t="str">
        <f aca="false">IF(AND(B85&lt;&gt;"",ISNUMBER(V85)),V85+ROW()/100000,"")</f>
        <v/>
      </c>
    </row>
    <row r="86" customFormat="false" ht="15" hidden="false" customHeight="false" outlineLevel="0" collapsed="false">
      <c r="A86" s="31" t="str">
        <f aca="false">IF(B86="","",ROW()-5)</f>
        <v/>
      </c>
      <c r="B86" s="32"/>
      <c r="C86" s="32"/>
      <c r="D86" s="32"/>
      <c r="E86" s="32"/>
      <c r="F86" s="32"/>
      <c r="G86" s="32"/>
      <c r="H86" s="33"/>
      <c r="I86" s="33"/>
      <c r="J86" s="32"/>
      <c r="K86" s="33"/>
      <c r="L86" s="32"/>
      <c r="M86" s="34"/>
      <c r="N86" s="34"/>
      <c r="O86" s="35" t="str">
        <f aca="false">IF(OR(M86="",N86="",M86=0),"",N86/M86)</f>
        <v/>
      </c>
      <c r="P86" s="36"/>
      <c r="Q86" s="37"/>
      <c r="R86" s="38" t="str">
        <f aca="false">IF(Q86&lt;&gt;"",Q86,IF(AND(P86&lt;&gt;"",M86&lt;&gt;""),P86*12*M86,""))</f>
        <v/>
      </c>
      <c r="S86" s="32"/>
      <c r="T86" s="32"/>
      <c r="U86" s="39"/>
      <c r="V86" s="39"/>
      <c r="W86" s="34"/>
      <c r="X86" s="32"/>
      <c r="Y86" s="34"/>
      <c r="Z86" s="40" t="str">
        <f aca="false">IF(OR(V86="",Y86=""),"",V86-Y86)</f>
        <v/>
      </c>
      <c r="AA86" s="41" t="str">
        <f aca="true">IF(V86="","",V86-TODAY())</f>
        <v/>
      </c>
      <c r="AB86" s="42" t="str">
        <f aca="false">IF(V86="","",IF(AA86&lt;0,"Past due",IF(AA86&lt;=90,"0–90 days",IF(AA86&lt;=180,"91–180 days",IF(AA86&lt;=365,"181–365 days","Over a year")))))</f>
        <v/>
      </c>
      <c r="AC86" s="43"/>
      <c r="AD86" s="32"/>
      <c r="AE86" s="32"/>
      <c r="AF86" s="33"/>
      <c r="AG86" s="32"/>
      <c r="AH86" s="33"/>
      <c r="AI86" s="32"/>
      <c r="AJ86" s="33"/>
      <c r="AK86" s="32"/>
      <c r="AL86" s="32"/>
      <c r="AM86" s="33"/>
      <c r="AN86" s="31" t="str">
        <f aca="false">IF(B86="","",IFERROR(INDEX(Lookup!$B$2:$B$3000,MATCH(TRIM(B86),Lookup!$A$2:$A$3000,0)),""))</f>
        <v/>
      </c>
      <c r="AO86" s="42" t="str">
        <f aca="false">IF(B86="","",IF(AN86="","No – will be reviewed","Yes"))</f>
        <v/>
      </c>
      <c r="AP86" s="31" t="str">
        <f aca="false">IF(AN86="","",IFERROR(INDEX(Catalog!$B$5:$B$400,MATCH(AN86,Catalog!$A$5:$A$400,0)),""))</f>
        <v/>
      </c>
      <c r="AQ86" s="31" t="str">
        <f aca="false">IF(AN86="","",IFERROR(INDEX(Catalog!$C$5:$C$400,MATCH(AN86,Catalog!$A$5:$A$400,0)),""))</f>
        <v/>
      </c>
      <c r="AR86" s="31" t="str">
        <f aca="false">IF(AN86="","",IFERROR(INDEX(Catalog!$D$5:$D$400,MATCH(AN86,Catalog!$A$5:$A$400,0)),""))</f>
        <v/>
      </c>
      <c r="AS86" s="31" t="str">
        <f aca="false">IF(AN86="","",IFERROR(INDEX(Catalog!$E$5:$E$400,MATCH(AN86,Catalog!$A$5:$A$400,0)),""))</f>
        <v/>
      </c>
      <c r="AT86" s="44" t="str">
        <f aca="false">IF(AN86="","",IFERROR(INDEX(Catalog!$F$5:$F$400,MATCH(AN86,Catalog!$A$5:$A$400,0)),""))</f>
        <v/>
      </c>
      <c r="AU86" s="31" t="str">
        <f aca="false">IF(AND(B86&lt;&gt;"",ISNUMBER(V86)),V86+ROW()/100000,"")</f>
        <v/>
      </c>
    </row>
    <row r="87" customFormat="false" ht="15" hidden="false" customHeight="false" outlineLevel="0" collapsed="false">
      <c r="A87" s="31" t="str">
        <f aca="false">IF(B87="","",ROW()-5)</f>
        <v/>
      </c>
      <c r="B87" s="32"/>
      <c r="C87" s="32"/>
      <c r="D87" s="32"/>
      <c r="E87" s="32"/>
      <c r="F87" s="32"/>
      <c r="G87" s="32"/>
      <c r="H87" s="33"/>
      <c r="I87" s="33"/>
      <c r="J87" s="32"/>
      <c r="K87" s="33"/>
      <c r="L87" s="32"/>
      <c r="M87" s="34"/>
      <c r="N87" s="34"/>
      <c r="O87" s="35" t="str">
        <f aca="false">IF(OR(M87="",N87="",M87=0),"",N87/M87)</f>
        <v/>
      </c>
      <c r="P87" s="36"/>
      <c r="Q87" s="37"/>
      <c r="R87" s="38" t="str">
        <f aca="false">IF(Q87&lt;&gt;"",Q87,IF(AND(P87&lt;&gt;"",M87&lt;&gt;""),P87*12*M87,""))</f>
        <v/>
      </c>
      <c r="S87" s="32"/>
      <c r="T87" s="32"/>
      <c r="U87" s="39"/>
      <c r="V87" s="39"/>
      <c r="W87" s="34"/>
      <c r="X87" s="32"/>
      <c r="Y87" s="34"/>
      <c r="Z87" s="40" t="str">
        <f aca="false">IF(OR(V87="",Y87=""),"",V87-Y87)</f>
        <v/>
      </c>
      <c r="AA87" s="41" t="str">
        <f aca="true">IF(V87="","",V87-TODAY())</f>
        <v/>
      </c>
      <c r="AB87" s="42" t="str">
        <f aca="false">IF(V87="","",IF(AA87&lt;0,"Past due",IF(AA87&lt;=90,"0–90 days",IF(AA87&lt;=180,"91–180 days",IF(AA87&lt;=365,"181–365 days","Over a year")))))</f>
        <v/>
      </c>
      <c r="AC87" s="43"/>
      <c r="AD87" s="32"/>
      <c r="AE87" s="32"/>
      <c r="AF87" s="33"/>
      <c r="AG87" s="32"/>
      <c r="AH87" s="33"/>
      <c r="AI87" s="32"/>
      <c r="AJ87" s="33"/>
      <c r="AK87" s="32"/>
      <c r="AL87" s="32"/>
      <c r="AM87" s="33"/>
      <c r="AN87" s="31" t="str">
        <f aca="false">IF(B87="","",IFERROR(INDEX(Lookup!$B$2:$B$3000,MATCH(TRIM(B87),Lookup!$A$2:$A$3000,0)),""))</f>
        <v/>
      </c>
      <c r="AO87" s="42" t="str">
        <f aca="false">IF(B87="","",IF(AN87="","No – will be reviewed","Yes"))</f>
        <v/>
      </c>
      <c r="AP87" s="31" t="str">
        <f aca="false">IF(AN87="","",IFERROR(INDEX(Catalog!$B$5:$B$400,MATCH(AN87,Catalog!$A$5:$A$400,0)),""))</f>
        <v/>
      </c>
      <c r="AQ87" s="31" t="str">
        <f aca="false">IF(AN87="","",IFERROR(INDEX(Catalog!$C$5:$C$400,MATCH(AN87,Catalog!$A$5:$A$400,0)),""))</f>
        <v/>
      </c>
      <c r="AR87" s="31" t="str">
        <f aca="false">IF(AN87="","",IFERROR(INDEX(Catalog!$D$5:$D$400,MATCH(AN87,Catalog!$A$5:$A$400,0)),""))</f>
        <v/>
      </c>
      <c r="AS87" s="31" t="str">
        <f aca="false">IF(AN87="","",IFERROR(INDEX(Catalog!$E$5:$E$400,MATCH(AN87,Catalog!$A$5:$A$400,0)),""))</f>
        <v/>
      </c>
      <c r="AT87" s="44" t="str">
        <f aca="false">IF(AN87="","",IFERROR(INDEX(Catalog!$F$5:$F$400,MATCH(AN87,Catalog!$A$5:$A$400,0)),""))</f>
        <v/>
      </c>
      <c r="AU87" s="31" t="str">
        <f aca="false">IF(AND(B87&lt;&gt;"",ISNUMBER(V87)),V87+ROW()/100000,"")</f>
        <v/>
      </c>
    </row>
    <row r="88" customFormat="false" ht="15" hidden="false" customHeight="false" outlineLevel="0" collapsed="false">
      <c r="A88" s="31" t="str">
        <f aca="false">IF(B88="","",ROW()-5)</f>
        <v/>
      </c>
      <c r="B88" s="32"/>
      <c r="C88" s="32"/>
      <c r="D88" s="32"/>
      <c r="E88" s="32"/>
      <c r="F88" s="32"/>
      <c r="G88" s="32"/>
      <c r="H88" s="33"/>
      <c r="I88" s="33"/>
      <c r="J88" s="32"/>
      <c r="K88" s="33"/>
      <c r="L88" s="32"/>
      <c r="M88" s="34"/>
      <c r="N88" s="34"/>
      <c r="O88" s="35" t="str">
        <f aca="false">IF(OR(M88="",N88="",M88=0),"",N88/M88)</f>
        <v/>
      </c>
      <c r="P88" s="36"/>
      <c r="Q88" s="37"/>
      <c r="R88" s="38" t="str">
        <f aca="false">IF(Q88&lt;&gt;"",Q88,IF(AND(P88&lt;&gt;"",M88&lt;&gt;""),P88*12*M88,""))</f>
        <v/>
      </c>
      <c r="S88" s="32"/>
      <c r="T88" s="32"/>
      <c r="U88" s="39"/>
      <c r="V88" s="39"/>
      <c r="W88" s="34"/>
      <c r="X88" s="32"/>
      <c r="Y88" s="34"/>
      <c r="Z88" s="40" t="str">
        <f aca="false">IF(OR(V88="",Y88=""),"",V88-Y88)</f>
        <v/>
      </c>
      <c r="AA88" s="41" t="str">
        <f aca="true">IF(V88="","",V88-TODAY())</f>
        <v/>
      </c>
      <c r="AB88" s="42" t="str">
        <f aca="false">IF(V88="","",IF(AA88&lt;0,"Past due",IF(AA88&lt;=90,"0–90 days",IF(AA88&lt;=180,"91–180 days",IF(AA88&lt;=365,"181–365 days","Over a year")))))</f>
        <v/>
      </c>
      <c r="AC88" s="43"/>
      <c r="AD88" s="32"/>
      <c r="AE88" s="32"/>
      <c r="AF88" s="33"/>
      <c r="AG88" s="32"/>
      <c r="AH88" s="33"/>
      <c r="AI88" s="32"/>
      <c r="AJ88" s="33"/>
      <c r="AK88" s="32"/>
      <c r="AL88" s="32"/>
      <c r="AM88" s="33"/>
      <c r="AN88" s="31" t="str">
        <f aca="false">IF(B88="","",IFERROR(INDEX(Lookup!$B$2:$B$3000,MATCH(TRIM(B88),Lookup!$A$2:$A$3000,0)),""))</f>
        <v/>
      </c>
      <c r="AO88" s="42" t="str">
        <f aca="false">IF(B88="","",IF(AN88="","No – will be reviewed","Yes"))</f>
        <v/>
      </c>
      <c r="AP88" s="31" t="str">
        <f aca="false">IF(AN88="","",IFERROR(INDEX(Catalog!$B$5:$B$400,MATCH(AN88,Catalog!$A$5:$A$400,0)),""))</f>
        <v/>
      </c>
      <c r="AQ88" s="31" t="str">
        <f aca="false">IF(AN88="","",IFERROR(INDEX(Catalog!$C$5:$C$400,MATCH(AN88,Catalog!$A$5:$A$400,0)),""))</f>
        <v/>
      </c>
      <c r="AR88" s="31" t="str">
        <f aca="false">IF(AN88="","",IFERROR(INDEX(Catalog!$D$5:$D$400,MATCH(AN88,Catalog!$A$5:$A$400,0)),""))</f>
        <v/>
      </c>
      <c r="AS88" s="31" t="str">
        <f aca="false">IF(AN88="","",IFERROR(INDEX(Catalog!$E$5:$E$400,MATCH(AN88,Catalog!$A$5:$A$400,0)),""))</f>
        <v/>
      </c>
      <c r="AT88" s="44" t="str">
        <f aca="false">IF(AN88="","",IFERROR(INDEX(Catalog!$F$5:$F$400,MATCH(AN88,Catalog!$A$5:$A$400,0)),""))</f>
        <v/>
      </c>
      <c r="AU88" s="31" t="str">
        <f aca="false">IF(AND(B88&lt;&gt;"",ISNUMBER(V88)),V88+ROW()/100000,"")</f>
        <v/>
      </c>
    </row>
    <row r="89" customFormat="false" ht="15" hidden="false" customHeight="false" outlineLevel="0" collapsed="false">
      <c r="A89" s="31" t="str">
        <f aca="false">IF(B89="","",ROW()-5)</f>
        <v/>
      </c>
      <c r="B89" s="32"/>
      <c r="C89" s="32"/>
      <c r="D89" s="32"/>
      <c r="E89" s="32"/>
      <c r="F89" s="32"/>
      <c r="G89" s="32"/>
      <c r="H89" s="33"/>
      <c r="I89" s="33"/>
      <c r="J89" s="32"/>
      <c r="K89" s="33"/>
      <c r="L89" s="32"/>
      <c r="M89" s="34"/>
      <c r="N89" s="34"/>
      <c r="O89" s="35" t="str">
        <f aca="false">IF(OR(M89="",N89="",M89=0),"",N89/M89)</f>
        <v/>
      </c>
      <c r="P89" s="36"/>
      <c r="Q89" s="37"/>
      <c r="R89" s="38" t="str">
        <f aca="false">IF(Q89&lt;&gt;"",Q89,IF(AND(P89&lt;&gt;"",M89&lt;&gt;""),P89*12*M89,""))</f>
        <v/>
      </c>
      <c r="S89" s="32"/>
      <c r="T89" s="32"/>
      <c r="U89" s="39"/>
      <c r="V89" s="39"/>
      <c r="W89" s="34"/>
      <c r="X89" s="32"/>
      <c r="Y89" s="34"/>
      <c r="Z89" s="40" t="str">
        <f aca="false">IF(OR(V89="",Y89=""),"",V89-Y89)</f>
        <v/>
      </c>
      <c r="AA89" s="41" t="str">
        <f aca="true">IF(V89="","",V89-TODAY())</f>
        <v/>
      </c>
      <c r="AB89" s="42" t="str">
        <f aca="false">IF(V89="","",IF(AA89&lt;0,"Past due",IF(AA89&lt;=90,"0–90 days",IF(AA89&lt;=180,"91–180 days",IF(AA89&lt;=365,"181–365 days","Over a year")))))</f>
        <v/>
      </c>
      <c r="AC89" s="43"/>
      <c r="AD89" s="32"/>
      <c r="AE89" s="32"/>
      <c r="AF89" s="33"/>
      <c r="AG89" s="32"/>
      <c r="AH89" s="33"/>
      <c r="AI89" s="32"/>
      <c r="AJ89" s="33"/>
      <c r="AK89" s="32"/>
      <c r="AL89" s="32"/>
      <c r="AM89" s="33"/>
      <c r="AN89" s="31" t="str">
        <f aca="false">IF(B89="","",IFERROR(INDEX(Lookup!$B$2:$B$3000,MATCH(TRIM(B89),Lookup!$A$2:$A$3000,0)),""))</f>
        <v/>
      </c>
      <c r="AO89" s="42" t="str">
        <f aca="false">IF(B89="","",IF(AN89="","No – will be reviewed","Yes"))</f>
        <v/>
      </c>
      <c r="AP89" s="31" t="str">
        <f aca="false">IF(AN89="","",IFERROR(INDEX(Catalog!$B$5:$B$400,MATCH(AN89,Catalog!$A$5:$A$400,0)),""))</f>
        <v/>
      </c>
      <c r="AQ89" s="31" t="str">
        <f aca="false">IF(AN89="","",IFERROR(INDEX(Catalog!$C$5:$C$400,MATCH(AN89,Catalog!$A$5:$A$400,0)),""))</f>
        <v/>
      </c>
      <c r="AR89" s="31" t="str">
        <f aca="false">IF(AN89="","",IFERROR(INDEX(Catalog!$D$5:$D$400,MATCH(AN89,Catalog!$A$5:$A$400,0)),""))</f>
        <v/>
      </c>
      <c r="AS89" s="31" t="str">
        <f aca="false">IF(AN89="","",IFERROR(INDEX(Catalog!$E$5:$E$400,MATCH(AN89,Catalog!$A$5:$A$400,0)),""))</f>
        <v/>
      </c>
      <c r="AT89" s="44" t="str">
        <f aca="false">IF(AN89="","",IFERROR(INDEX(Catalog!$F$5:$F$400,MATCH(AN89,Catalog!$A$5:$A$400,0)),""))</f>
        <v/>
      </c>
      <c r="AU89" s="31" t="str">
        <f aca="false">IF(AND(B89&lt;&gt;"",ISNUMBER(V89)),V89+ROW()/100000,"")</f>
        <v/>
      </c>
    </row>
    <row r="90" customFormat="false" ht="15" hidden="false" customHeight="false" outlineLevel="0" collapsed="false">
      <c r="A90" s="31" t="str">
        <f aca="false">IF(B90="","",ROW()-5)</f>
        <v/>
      </c>
      <c r="B90" s="32"/>
      <c r="C90" s="32"/>
      <c r="D90" s="32"/>
      <c r="E90" s="32"/>
      <c r="F90" s="32"/>
      <c r="G90" s="32"/>
      <c r="H90" s="33"/>
      <c r="I90" s="33"/>
      <c r="J90" s="32"/>
      <c r="K90" s="33"/>
      <c r="L90" s="32"/>
      <c r="M90" s="34"/>
      <c r="N90" s="34"/>
      <c r="O90" s="35" t="str">
        <f aca="false">IF(OR(M90="",N90="",M90=0),"",N90/M90)</f>
        <v/>
      </c>
      <c r="P90" s="36"/>
      <c r="Q90" s="37"/>
      <c r="R90" s="38" t="str">
        <f aca="false">IF(Q90&lt;&gt;"",Q90,IF(AND(P90&lt;&gt;"",M90&lt;&gt;""),P90*12*M90,""))</f>
        <v/>
      </c>
      <c r="S90" s="32"/>
      <c r="T90" s="32"/>
      <c r="U90" s="39"/>
      <c r="V90" s="39"/>
      <c r="W90" s="34"/>
      <c r="X90" s="32"/>
      <c r="Y90" s="34"/>
      <c r="Z90" s="40" t="str">
        <f aca="false">IF(OR(V90="",Y90=""),"",V90-Y90)</f>
        <v/>
      </c>
      <c r="AA90" s="41" t="str">
        <f aca="true">IF(V90="","",V90-TODAY())</f>
        <v/>
      </c>
      <c r="AB90" s="42" t="str">
        <f aca="false">IF(V90="","",IF(AA90&lt;0,"Past due",IF(AA90&lt;=90,"0–90 days",IF(AA90&lt;=180,"91–180 days",IF(AA90&lt;=365,"181–365 days","Over a year")))))</f>
        <v/>
      </c>
      <c r="AC90" s="43"/>
      <c r="AD90" s="32"/>
      <c r="AE90" s="32"/>
      <c r="AF90" s="33"/>
      <c r="AG90" s="32"/>
      <c r="AH90" s="33"/>
      <c r="AI90" s="32"/>
      <c r="AJ90" s="33"/>
      <c r="AK90" s="32"/>
      <c r="AL90" s="32"/>
      <c r="AM90" s="33"/>
      <c r="AN90" s="31" t="str">
        <f aca="false">IF(B90="","",IFERROR(INDEX(Lookup!$B$2:$B$3000,MATCH(TRIM(B90),Lookup!$A$2:$A$3000,0)),""))</f>
        <v/>
      </c>
      <c r="AO90" s="42" t="str">
        <f aca="false">IF(B90="","",IF(AN90="","No – will be reviewed","Yes"))</f>
        <v/>
      </c>
      <c r="AP90" s="31" t="str">
        <f aca="false">IF(AN90="","",IFERROR(INDEX(Catalog!$B$5:$B$400,MATCH(AN90,Catalog!$A$5:$A$400,0)),""))</f>
        <v/>
      </c>
      <c r="AQ90" s="31" t="str">
        <f aca="false">IF(AN90="","",IFERROR(INDEX(Catalog!$C$5:$C$400,MATCH(AN90,Catalog!$A$5:$A$400,0)),""))</f>
        <v/>
      </c>
      <c r="AR90" s="31" t="str">
        <f aca="false">IF(AN90="","",IFERROR(INDEX(Catalog!$D$5:$D$400,MATCH(AN90,Catalog!$A$5:$A$400,0)),""))</f>
        <v/>
      </c>
      <c r="AS90" s="31" t="str">
        <f aca="false">IF(AN90="","",IFERROR(INDEX(Catalog!$E$5:$E$400,MATCH(AN90,Catalog!$A$5:$A$400,0)),""))</f>
        <v/>
      </c>
      <c r="AT90" s="44" t="str">
        <f aca="false">IF(AN90="","",IFERROR(INDEX(Catalog!$F$5:$F$400,MATCH(AN90,Catalog!$A$5:$A$400,0)),""))</f>
        <v/>
      </c>
      <c r="AU90" s="31" t="str">
        <f aca="false">IF(AND(B90&lt;&gt;"",ISNUMBER(V90)),V90+ROW()/100000,"")</f>
        <v/>
      </c>
    </row>
    <row r="91" customFormat="false" ht="15" hidden="false" customHeight="false" outlineLevel="0" collapsed="false">
      <c r="A91" s="31" t="str">
        <f aca="false">IF(B91="","",ROW()-5)</f>
        <v/>
      </c>
      <c r="B91" s="32"/>
      <c r="C91" s="32"/>
      <c r="D91" s="32"/>
      <c r="E91" s="32"/>
      <c r="F91" s="32"/>
      <c r="G91" s="32"/>
      <c r="H91" s="33"/>
      <c r="I91" s="33"/>
      <c r="J91" s="32"/>
      <c r="K91" s="33"/>
      <c r="L91" s="32"/>
      <c r="M91" s="34"/>
      <c r="N91" s="34"/>
      <c r="O91" s="35" t="str">
        <f aca="false">IF(OR(M91="",N91="",M91=0),"",N91/M91)</f>
        <v/>
      </c>
      <c r="P91" s="36"/>
      <c r="Q91" s="37"/>
      <c r="R91" s="38" t="str">
        <f aca="false">IF(Q91&lt;&gt;"",Q91,IF(AND(P91&lt;&gt;"",M91&lt;&gt;""),P91*12*M91,""))</f>
        <v/>
      </c>
      <c r="S91" s="32"/>
      <c r="T91" s="32"/>
      <c r="U91" s="39"/>
      <c r="V91" s="39"/>
      <c r="W91" s="34"/>
      <c r="X91" s="32"/>
      <c r="Y91" s="34"/>
      <c r="Z91" s="40" t="str">
        <f aca="false">IF(OR(V91="",Y91=""),"",V91-Y91)</f>
        <v/>
      </c>
      <c r="AA91" s="41" t="str">
        <f aca="true">IF(V91="","",V91-TODAY())</f>
        <v/>
      </c>
      <c r="AB91" s="42" t="str">
        <f aca="false">IF(V91="","",IF(AA91&lt;0,"Past due",IF(AA91&lt;=90,"0–90 days",IF(AA91&lt;=180,"91–180 days",IF(AA91&lt;=365,"181–365 days","Over a year")))))</f>
        <v/>
      </c>
      <c r="AC91" s="43"/>
      <c r="AD91" s="32"/>
      <c r="AE91" s="32"/>
      <c r="AF91" s="33"/>
      <c r="AG91" s="32"/>
      <c r="AH91" s="33"/>
      <c r="AI91" s="32"/>
      <c r="AJ91" s="33"/>
      <c r="AK91" s="32"/>
      <c r="AL91" s="32"/>
      <c r="AM91" s="33"/>
      <c r="AN91" s="31" t="str">
        <f aca="false">IF(B91="","",IFERROR(INDEX(Lookup!$B$2:$B$3000,MATCH(TRIM(B91),Lookup!$A$2:$A$3000,0)),""))</f>
        <v/>
      </c>
      <c r="AO91" s="42" t="str">
        <f aca="false">IF(B91="","",IF(AN91="","No – will be reviewed","Yes"))</f>
        <v/>
      </c>
      <c r="AP91" s="31" t="str">
        <f aca="false">IF(AN91="","",IFERROR(INDEX(Catalog!$B$5:$B$400,MATCH(AN91,Catalog!$A$5:$A$400,0)),""))</f>
        <v/>
      </c>
      <c r="AQ91" s="31" t="str">
        <f aca="false">IF(AN91="","",IFERROR(INDEX(Catalog!$C$5:$C$400,MATCH(AN91,Catalog!$A$5:$A$400,0)),""))</f>
        <v/>
      </c>
      <c r="AR91" s="31" t="str">
        <f aca="false">IF(AN91="","",IFERROR(INDEX(Catalog!$D$5:$D$400,MATCH(AN91,Catalog!$A$5:$A$400,0)),""))</f>
        <v/>
      </c>
      <c r="AS91" s="31" t="str">
        <f aca="false">IF(AN91="","",IFERROR(INDEX(Catalog!$E$5:$E$400,MATCH(AN91,Catalog!$A$5:$A$400,0)),""))</f>
        <v/>
      </c>
      <c r="AT91" s="44" t="str">
        <f aca="false">IF(AN91="","",IFERROR(INDEX(Catalog!$F$5:$F$400,MATCH(AN91,Catalog!$A$5:$A$400,0)),""))</f>
        <v/>
      </c>
      <c r="AU91" s="31" t="str">
        <f aca="false">IF(AND(B91&lt;&gt;"",ISNUMBER(V91)),V91+ROW()/100000,"")</f>
        <v/>
      </c>
    </row>
    <row r="92" customFormat="false" ht="15" hidden="false" customHeight="false" outlineLevel="0" collapsed="false">
      <c r="A92" s="31" t="str">
        <f aca="false">IF(B92="","",ROW()-5)</f>
        <v/>
      </c>
      <c r="B92" s="32"/>
      <c r="C92" s="32"/>
      <c r="D92" s="32"/>
      <c r="E92" s="32"/>
      <c r="F92" s="32"/>
      <c r="G92" s="32"/>
      <c r="H92" s="33"/>
      <c r="I92" s="33"/>
      <c r="J92" s="32"/>
      <c r="K92" s="33"/>
      <c r="L92" s="32"/>
      <c r="M92" s="34"/>
      <c r="N92" s="34"/>
      <c r="O92" s="35" t="str">
        <f aca="false">IF(OR(M92="",N92="",M92=0),"",N92/M92)</f>
        <v/>
      </c>
      <c r="P92" s="36"/>
      <c r="Q92" s="37"/>
      <c r="R92" s="38" t="str">
        <f aca="false">IF(Q92&lt;&gt;"",Q92,IF(AND(P92&lt;&gt;"",M92&lt;&gt;""),P92*12*M92,""))</f>
        <v/>
      </c>
      <c r="S92" s="32"/>
      <c r="T92" s="32"/>
      <c r="U92" s="39"/>
      <c r="V92" s="39"/>
      <c r="W92" s="34"/>
      <c r="X92" s="32"/>
      <c r="Y92" s="34"/>
      <c r="Z92" s="40" t="str">
        <f aca="false">IF(OR(V92="",Y92=""),"",V92-Y92)</f>
        <v/>
      </c>
      <c r="AA92" s="41" t="str">
        <f aca="true">IF(V92="","",V92-TODAY())</f>
        <v/>
      </c>
      <c r="AB92" s="42" t="str">
        <f aca="false">IF(V92="","",IF(AA92&lt;0,"Past due",IF(AA92&lt;=90,"0–90 days",IF(AA92&lt;=180,"91–180 days",IF(AA92&lt;=365,"181–365 days","Over a year")))))</f>
        <v/>
      </c>
      <c r="AC92" s="43"/>
      <c r="AD92" s="32"/>
      <c r="AE92" s="32"/>
      <c r="AF92" s="33"/>
      <c r="AG92" s="32"/>
      <c r="AH92" s="33"/>
      <c r="AI92" s="32"/>
      <c r="AJ92" s="33"/>
      <c r="AK92" s="32"/>
      <c r="AL92" s="32"/>
      <c r="AM92" s="33"/>
      <c r="AN92" s="31" t="str">
        <f aca="false">IF(B92="","",IFERROR(INDEX(Lookup!$B$2:$B$3000,MATCH(TRIM(B92),Lookup!$A$2:$A$3000,0)),""))</f>
        <v/>
      </c>
      <c r="AO92" s="42" t="str">
        <f aca="false">IF(B92="","",IF(AN92="","No – will be reviewed","Yes"))</f>
        <v/>
      </c>
      <c r="AP92" s="31" t="str">
        <f aca="false">IF(AN92="","",IFERROR(INDEX(Catalog!$B$5:$B$400,MATCH(AN92,Catalog!$A$5:$A$400,0)),""))</f>
        <v/>
      </c>
      <c r="AQ92" s="31" t="str">
        <f aca="false">IF(AN92="","",IFERROR(INDEX(Catalog!$C$5:$C$400,MATCH(AN92,Catalog!$A$5:$A$400,0)),""))</f>
        <v/>
      </c>
      <c r="AR92" s="31" t="str">
        <f aca="false">IF(AN92="","",IFERROR(INDEX(Catalog!$D$5:$D$400,MATCH(AN92,Catalog!$A$5:$A$400,0)),""))</f>
        <v/>
      </c>
      <c r="AS92" s="31" t="str">
        <f aca="false">IF(AN92="","",IFERROR(INDEX(Catalog!$E$5:$E$400,MATCH(AN92,Catalog!$A$5:$A$400,0)),""))</f>
        <v/>
      </c>
      <c r="AT92" s="44" t="str">
        <f aca="false">IF(AN92="","",IFERROR(INDEX(Catalog!$F$5:$F$400,MATCH(AN92,Catalog!$A$5:$A$400,0)),""))</f>
        <v/>
      </c>
      <c r="AU92" s="31" t="str">
        <f aca="false">IF(AND(B92&lt;&gt;"",ISNUMBER(V92)),V92+ROW()/100000,"")</f>
        <v/>
      </c>
    </row>
    <row r="93" customFormat="false" ht="15" hidden="false" customHeight="false" outlineLevel="0" collapsed="false">
      <c r="A93" s="31" t="str">
        <f aca="false">IF(B93="","",ROW()-5)</f>
        <v/>
      </c>
      <c r="B93" s="32"/>
      <c r="C93" s="32"/>
      <c r="D93" s="32"/>
      <c r="E93" s="32"/>
      <c r="F93" s="32"/>
      <c r="G93" s="32"/>
      <c r="H93" s="33"/>
      <c r="I93" s="33"/>
      <c r="J93" s="32"/>
      <c r="K93" s="33"/>
      <c r="L93" s="32"/>
      <c r="M93" s="34"/>
      <c r="N93" s="34"/>
      <c r="O93" s="35" t="str">
        <f aca="false">IF(OR(M93="",N93="",M93=0),"",N93/M93)</f>
        <v/>
      </c>
      <c r="P93" s="36"/>
      <c r="Q93" s="37"/>
      <c r="R93" s="38" t="str">
        <f aca="false">IF(Q93&lt;&gt;"",Q93,IF(AND(P93&lt;&gt;"",M93&lt;&gt;""),P93*12*M93,""))</f>
        <v/>
      </c>
      <c r="S93" s="32"/>
      <c r="T93" s="32"/>
      <c r="U93" s="39"/>
      <c r="V93" s="39"/>
      <c r="W93" s="34"/>
      <c r="X93" s="32"/>
      <c r="Y93" s="34"/>
      <c r="Z93" s="40" t="str">
        <f aca="false">IF(OR(V93="",Y93=""),"",V93-Y93)</f>
        <v/>
      </c>
      <c r="AA93" s="41" t="str">
        <f aca="true">IF(V93="","",V93-TODAY())</f>
        <v/>
      </c>
      <c r="AB93" s="42" t="str">
        <f aca="false">IF(V93="","",IF(AA93&lt;0,"Past due",IF(AA93&lt;=90,"0–90 days",IF(AA93&lt;=180,"91–180 days",IF(AA93&lt;=365,"181–365 days","Over a year")))))</f>
        <v/>
      </c>
      <c r="AC93" s="43"/>
      <c r="AD93" s="32"/>
      <c r="AE93" s="32"/>
      <c r="AF93" s="33"/>
      <c r="AG93" s="32"/>
      <c r="AH93" s="33"/>
      <c r="AI93" s="32"/>
      <c r="AJ93" s="33"/>
      <c r="AK93" s="32"/>
      <c r="AL93" s="32"/>
      <c r="AM93" s="33"/>
      <c r="AN93" s="31" t="str">
        <f aca="false">IF(B93="","",IFERROR(INDEX(Lookup!$B$2:$B$3000,MATCH(TRIM(B93),Lookup!$A$2:$A$3000,0)),""))</f>
        <v/>
      </c>
      <c r="AO93" s="42" t="str">
        <f aca="false">IF(B93="","",IF(AN93="","No – will be reviewed","Yes"))</f>
        <v/>
      </c>
      <c r="AP93" s="31" t="str">
        <f aca="false">IF(AN93="","",IFERROR(INDEX(Catalog!$B$5:$B$400,MATCH(AN93,Catalog!$A$5:$A$400,0)),""))</f>
        <v/>
      </c>
      <c r="AQ93" s="31" t="str">
        <f aca="false">IF(AN93="","",IFERROR(INDEX(Catalog!$C$5:$C$400,MATCH(AN93,Catalog!$A$5:$A$400,0)),""))</f>
        <v/>
      </c>
      <c r="AR93" s="31" t="str">
        <f aca="false">IF(AN93="","",IFERROR(INDEX(Catalog!$D$5:$D$400,MATCH(AN93,Catalog!$A$5:$A$400,0)),""))</f>
        <v/>
      </c>
      <c r="AS93" s="31" t="str">
        <f aca="false">IF(AN93="","",IFERROR(INDEX(Catalog!$E$5:$E$400,MATCH(AN93,Catalog!$A$5:$A$400,0)),""))</f>
        <v/>
      </c>
      <c r="AT93" s="44" t="str">
        <f aca="false">IF(AN93="","",IFERROR(INDEX(Catalog!$F$5:$F$400,MATCH(AN93,Catalog!$A$5:$A$400,0)),""))</f>
        <v/>
      </c>
      <c r="AU93" s="31" t="str">
        <f aca="false">IF(AND(B93&lt;&gt;"",ISNUMBER(V93)),V93+ROW()/100000,"")</f>
        <v/>
      </c>
    </row>
    <row r="94" customFormat="false" ht="15" hidden="false" customHeight="false" outlineLevel="0" collapsed="false">
      <c r="A94" s="31" t="str">
        <f aca="false">IF(B94="","",ROW()-5)</f>
        <v/>
      </c>
      <c r="B94" s="32"/>
      <c r="C94" s="32"/>
      <c r="D94" s="32"/>
      <c r="E94" s="32"/>
      <c r="F94" s="32"/>
      <c r="G94" s="32"/>
      <c r="H94" s="33"/>
      <c r="I94" s="33"/>
      <c r="J94" s="32"/>
      <c r="K94" s="33"/>
      <c r="L94" s="32"/>
      <c r="M94" s="34"/>
      <c r="N94" s="34"/>
      <c r="O94" s="35" t="str">
        <f aca="false">IF(OR(M94="",N94="",M94=0),"",N94/M94)</f>
        <v/>
      </c>
      <c r="P94" s="36"/>
      <c r="Q94" s="37"/>
      <c r="R94" s="38" t="str">
        <f aca="false">IF(Q94&lt;&gt;"",Q94,IF(AND(P94&lt;&gt;"",M94&lt;&gt;""),P94*12*M94,""))</f>
        <v/>
      </c>
      <c r="S94" s="32"/>
      <c r="T94" s="32"/>
      <c r="U94" s="39"/>
      <c r="V94" s="39"/>
      <c r="W94" s="34"/>
      <c r="X94" s="32"/>
      <c r="Y94" s="34"/>
      <c r="Z94" s="40" t="str">
        <f aca="false">IF(OR(V94="",Y94=""),"",V94-Y94)</f>
        <v/>
      </c>
      <c r="AA94" s="41" t="str">
        <f aca="true">IF(V94="","",V94-TODAY())</f>
        <v/>
      </c>
      <c r="AB94" s="42" t="str">
        <f aca="false">IF(V94="","",IF(AA94&lt;0,"Past due",IF(AA94&lt;=90,"0–90 days",IF(AA94&lt;=180,"91–180 days",IF(AA94&lt;=365,"181–365 days","Over a year")))))</f>
        <v/>
      </c>
      <c r="AC94" s="43"/>
      <c r="AD94" s="32"/>
      <c r="AE94" s="32"/>
      <c r="AF94" s="33"/>
      <c r="AG94" s="32"/>
      <c r="AH94" s="33"/>
      <c r="AI94" s="32"/>
      <c r="AJ94" s="33"/>
      <c r="AK94" s="32"/>
      <c r="AL94" s="32"/>
      <c r="AM94" s="33"/>
      <c r="AN94" s="31" t="str">
        <f aca="false">IF(B94="","",IFERROR(INDEX(Lookup!$B$2:$B$3000,MATCH(TRIM(B94),Lookup!$A$2:$A$3000,0)),""))</f>
        <v/>
      </c>
      <c r="AO94" s="42" t="str">
        <f aca="false">IF(B94="","",IF(AN94="","No – will be reviewed","Yes"))</f>
        <v/>
      </c>
      <c r="AP94" s="31" t="str">
        <f aca="false">IF(AN94="","",IFERROR(INDEX(Catalog!$B$5:$B$400,MATCH(AN94,Catalog!$A$5:$A$400,0)),""))</f>
        <v/>
      </c>
      <c r="AQ94" s="31" t="str">
        <f aca="false">IF(AN94="","",IFERROR(INDEX(Catalog!$C$5:$C$400,MATCH(AN94,Catalog!$A$5:$A$400,0)),""))</f>
        <v/>
      </c>
      <c r="AR94" s="31" t="str">
        <f aca="false">IF(AN94="","",IFERROR(INDEX(Catalog!$D$5:$D$400,MATCH(AN94,Catalog!$A$5:$A$400,0)),""))</f>
        <v/>
      </c>
      <c r="AS94" s="31" t="str">
        <f aca="false">IF(AN94="","",IFERROR(INDEX(Catalog!$E$5:$E$400,MATCH(AN94,Catalog!$A$5:$A$400,0)),""))</f>
        <v/>
      </c>
      <c r="AT94" s="44" t="str">
        <f aca="false">IF(AN94="","",IFERROR(INDEX(Catalog!$F$5:$F$400,MATCH(AN94,Catalog!$A$5:$A$400,0)),""))</f>
        <v/>
      </c>
      <c r="AU94" s="31" t="str">
        <f aca="false">IF(AND(B94&lt;&gt;"",ISNUMBER(V94)),V94+ROW()/100000,"")</f>
        <v/>
      </c>
    </row>
    <row r="95" customFormat="false" ht="15" hidden="false" customHeight="false" outlineLevel="0" collapsed="false">
      <c r="A95" s="31" t="str">
        <f aca="false">IF(B95="","",ROW()-5)</f>
        <v/>
      </c>
      <c r="B95" s="32"/>
      <c r="C95" s="32"/>
      <c r="D95" s="32"/>
      <c r="E95" s="32"/>
      <c r="F95" s="32"/>
      <c r="G95" s="32"/>
      <c r="H95" s="33"/>
      <c r="I95" s="33"/>
      <c r="J95" s="32"/>
      <c r="K95" s="33"/>
      <c r="L95" s="32"/>
      <c r="M95" s="34"/>
      <c r="N95" s="34"/>
      <c r="O95" s="35" t="str">
        <f aca="false">IF(OR(M95="",N95="",M95=0),"",N95/M95)</f>
        <v/>
      </c>
      <c r="P95" s="36"/>
      <c r="Q95" s="37"/>
      <c r="R95" s="38" t="str">
        <f aca="false">IF(Q95&lt;&gt;"",Q95,IF(AND(P95&lt;&gt;"",M95&lt;&gt;""),P95*12*M95,""))</f>
        <v/>
      </c>
      <c r="S95" s="32"/>
      <c r="T95" s="32"/>
      <c r="U95" s="39"/>
      <c r="V95" s="39"/>
      <c r="W95" s="34"/>
      <c r="X95" s="32"/>
      <c r="Y95" s="34"/>
      <c r="Z95" s="40" t="str">
        <f aca="false">IF(OR(V95="",Y95=""),"",V95-Y95)</f>
        <v/>
      </c>
      <c r="AA95" s="41" t="str">
        <f aca="true">IF(V95="","",V95-TODAY())</f>
        <v/>
      </c>
      <c r="AB95" s="42" t="str">
        <f aca="false">IF(V95="","",IF(AA95&lt;0,"Past due",IF(AA95&lt;=90,"0–90 days",IF(AA95&lt;=180,"91–180 days",IF(AA95&lt;=365,"181–365 days","Over a year")))))</f>
        <v/>
      </c>
      <c r="AC95" s="43"/>
      <c r="AD95" s="32"/>
      <c r="AE95" s="32"/>
      <c r="AF95" s="33"/>
      <c r="AG95" s="32"/>
      <c r="AH95" s="33"/>
      <c r="AI95" s="32"/>
      <c r="AJ95" s="33"/>
      <c r="AK95" s="32"/>
      <c r="AL95" s="32"/>
      <c r="AM95" s="33"/>
      <c r="AN95" s="31" t="str">
        <f aca="false">IF(B95="","",IFERROR(INDEX(Lookup!$B$2:$B$3000,MATCH(TRIM(B95),Lookup!$A$2:$A$3000,0)),""))</f>
        <v/>
      </c>
      <c r="AO95" s="42" t="str">
        <f aca="false">IF(B95="","",IF(AN95="","No – will be reviewed","Yes"))</f>
        <v/>
      </c>
      <c r="AP95" s="31" t="str">
        <f aca="false">IF(AN95="","",IFERROR(INDEX(Catalog!$B$5:$B$400,MATCH(AN95,Catalog!$A$5:$A$400,0)),""))</f>
        <v/>
      </c>
      <c r="AQ95" s="31" t="str">
        <f aca="false">IF(AN95="","",IFERROR(INDEX(Catalog!$C$5:$C$400,MATCH(AN95,Catalog!$A$5:$A$400,0)),""))</f>
        <v/>
      </c>
      <c r="AR95" s="31" t="str">
        <f aca="false">IF(AN95="","",IFERROR(INDEX(Catalog!$D$5:$D$400,MATCH(AN95,Catalog!$A$5:$A$400,0)),""))</f>
        <v/>
      </c>
      <c r="AS95" s="31" t="str">
        <f aca="false">IF(AN95="","",IFERROR(INDEX(Catalog!$E$5:$E$400,MATCH(AN95,Catalog!$A$5:$A$400,0)),""))</f>
        <v/>
      </c>
      <c r="AT95" s="44" t="str">
        <f aca="false">IF(AN95="","",IFERROR(INDEX(Catalog!$F$5:$F$400,MATCH(AN95,Catalog!$A$5:$A$400,0)),""))</f>
        <v/>
      </c>
      <c r="AU95" s="31" t="str">
        <f aca="false">IF(AND(B95&lt;&gt;"",ISNUMBER(V95)),V95+ROW()/100000,"")</f>
        <v/>
      </c>
    </row>
    <row r="96" customFormat="false" ht="15" hidden="false" customHeight="false" outlineLevel="0" collapsed="false">
      <c r="A96" s="31" t="str">
        <f aca="false">IF(B96="","",ROW()-5)</f>
        <v/>
      </c>
      <c r="B96" s="32"/>
      <c r="C96" s="32"/>
      <c r="D96" s="32"/>
      <c r="E96" s="32"/>
      <c r="F96" s="32"/>
      <c r="G96" s="32"/>
      <c r="H96" s="33"/>
      <c r="I96" s="33"/>
      <c r="J96" s="32"/>
      <c r="K96" s="33"/>
      <c r="L96" s="32"/>
      <c r="M96" s="34"/>
      <c r="N96" s="34"/>
      <c r="O96" s="35" t="str">
        <f aca="false">IF(OR(M96="",N96="",M96=0),"",N96/M96)</f>
        <v/>
      </c>
      <c r="P96" s="36"/>
      <c r="Q96" s="37"/>
      <c r="R96" s="38" t="str">
        <f aca="false">IF(Q96&lt;&gt;"",Q96,IF(AND(P96&lt;&gt;"",M96&lt;&gt;""),P96*12*M96,""))</f>
        <v/>
      </c>
      <c r="S96" s="32"/>
      <c r="T96" s="32"/>
      <c r="U96" s="39"/>
      <c r="V96" s="39"/>
      <c r="W96" s="34"/>
      <c r="X96" s="32"/>
      <c r="Y96" s="34"/>
      <c r="Z96" s="40" t="str">
        <f aca="false">IF(OR(V96="",Y96=""),"",V96-Y96)</f>
        <v/>
      </c>
      <c r="AA96" s="41" t="str">
        <f aca="true">IF(V96="","",V96-TODAY())</f>
        <v/>
      </c>
      <c r="AB96" s="42" t="str">
        <f aca="false">IF(V96="","",IF(AA96&lt;0,"Past due",IF(AA96&lt;=90,"0–90 days",IF(AA96&lt;=180,"91–180 days",IF(AA96&lt;=365,"181–365 days","Over a year")))))</f>
        <v/>
      </c>
      <c r="AC96" s="43"/>
      <c r="AD96" s="32"/>
      <c r="AE96" s="32"/>
      <c r="AF96" s="33"/>
      <c r="AG96" s="32"/>
      <c r="AH96" s="33"/>
      <c r="AI96" s="32"/>
      <c r="AJ96" s="33"/>
      <c r="AK96" s="32"/>
      <c r="AL96" s="32"/>
      <c r="AM96" s="33"/>
      <c r="AN96" s="31" t="str">
        <f aca="false">IF(B96="","",IFERROR(INDEX(Lookup!$B$2:$B$3000,MATCH(TRIM(B96),Lookup!$A$2:$A$3000,0)),""))</f>
        <v/>
      </c>
      <c r="AO96" s="42" t="str">
        <f aca="false">IF(B96="","",IF(AN96="","No – will be reviewed","Yes"))</f>
        <v/>
      </c>
      <c r="AP96" s="31" t="str">
        <f aca="false">IF(AN96="","",IFERROR(INDEX(Catalog!$B$5:$B$400,MATCH(AN96,Catalog!$A$5:$A$400,0)),""))</f>
        <v/>
      </c>
      <c r="AQ96" s="31" t="str">
        <f aca="false">IF(AN96="","",IFERROR(INDEX(Catalog!$C$5:$C$400,MATCH(AN96,Catalog!$A$5:$A$400,0)),""))</f>
        <v/>
      </c>
      <c r="AR96" s="31" t="str">
        <f aca="false">IF(AN96="","",IFERROR(INDEX(Catalog!$D$5:$D$400,MATCH(AN96,Catalog!$A$5:$A$400,0)),""))</f>
        <v/>
      </c>
      <c r="AS96" s="31" t="str">
        <f aca="false">IF(AN96="","",IFERROR(INDEX(Catalog!$E$5:$E$400,MATCH(AN96,Catalog!$A$5:$A$400,0)),""))</f>
        <v/>
      </c>
      <c r="AT96" s="44" t="str">
        <f aca="false">IF(AN96="","",IFERROR(INDEX(Catalog!$F$5:$F$400,MATCH(AN96,Catalog!$A$5:$A$400,0)),""))</f>
        <v/>
      </c>
      <c r="AU96" s="31" t="str">
        <f aca="false">IF(AND(B96&lt;&gt;"",ISNUMBER(V96)),V96+ROW()/100000,"")</f>
        <v/>
      </c>
    </row>
    <row r="97" customFormat="false" ht="15" hidden="false" customHeight="false" outlineLevel="0" collapsed="false">
      <c r="A97" s="31" t="str">
        <f aca="false">IF(B97="","",ROW()-5)</f>
        <v/>
      </c>
      <c r="B97" s="32"/>
      <c r="C97" s="32"/>
      <c r="D97" s="32"/>
      <c r="E97" s="32"/>
      <c r="F97" s="32"/>
      <c r="G97" s="32"/>
      <c r="H97" s="33"/>
      <c r="I97" s="33"/>
      <c r="J97" s="32"/>
      <c r="K97" s="33"/>
      <c r="L97" s="32"/>
      <c r="M97" s="34"/>
      <c r="N97" s="34"/>
      <c r="O97" s="35" t="str">
        <f aca="false">IF(OR(M97="",N97="",M97=0),"",N97/M97)</f>
        <v/>
      </c>
      <c r="P97" s="36"/>
      <c r="Q97" s="37"/>
      <c r="R97" s="38" t="str">
        <f aca="false">IF(Q97&lt;&gt;"",Q97,IF(AND(P97&lt;&gt;"",M97&lt;&gt;""),P97*12*M97,""))</f>
        <v/>
      </c>
      <c r="S97" s="32"/>
      <c r="T97" s="32"/>
      <c r="U97" s="39"/>
      <c r="V97" s="39"/>
      <c r="W97" s="34"/>
      <c r="X97" s="32"/>
      <c r="Y97" s="34"/>
      <c r="Z97" s="40" t="str">
        <f aca="false">IF(OR(V97="",Y97=""),"",V97-Y97)</f>
        <v/>
      </c>
      <c r="AA97" s="41" t="str">
        <f aca="true">IF(V97="","",V97-TODAY())</f>
        <v/>
      </c>
      <c r="AB97" s="42" t="str">
        <f aca="false">IF(V97="","",IF(AA97&lt;0,"Past due",IF(AA97&lt;=90,"0–90 days",IF(AA97&lt;=180,"91–180 days",IF(AA97&lt;=365,"181–365 days","Over a year")))))</f>
        <v/>
      </c>
      <c r="AC97" s="43"/>
      <c r="AD97" s="32"/>
      <c r="AE97" s="32"/>
      <c r="AF97" s="33"/>
      <c r="AG97" s="32"/>
      <c r="AH97" s="33"/>
      <c r="AI97" s="32"/>
      <c r="AJ97" s="33"/>
      <c r="AK97" s="32"/>
      <c r="AL97" s="32"/>
      <c r="AM97" s="33"/>
      <c r="AN97" s="31" t="str">
        <f aca="false">IF(B97="","",IFERROR(INDEX(Lookup!$B$2:$B$3000,MATCH(TRIM(B97),Lookup!$A$2:$A$3000,0)),""))</f>
        <v/>
      </c>
      <c r="AO97" s="42" t="str">
        <f aca="false">IF(B97="","",IF(AN97="","No – will be reviewed","Yes"))</f>
        <v/>
      </c>
      <c r="AP97" s="31" t="str">
        <f aca="false">IF(AN97="","",IFERROR(INDEX(Catalog!$B$5:$B$400,MATCH(AN97,Catalog!$A$5:$A$400,0)),""))</f>
        <v/>
      </c>
      <c r="AQ97" s="31" t="str">
        <f aca="false">IF(AN97="","",IFERROR(INDEX(Catalog!$C$5:$C$400,MATCH(AN97,Catalog!$A$5:$A$400,0)),""))</f>
        <v/>
      </c>
      <c r="AR97" s="31" t="str">
        <f aca="false">IF(AN97="","",IFERROR(INDEX(Catalog!$D$5:$D$400,MATCH(AN97,Catalog!$A$5:$A$400,0)),""))</f>
        <v/>
      </c>
      <c r="AS97" s="31" t="str">
        <f aca="false">IF(AN97="","",IFERROR(INDEX(Catalog!$E$5:$E$400,MATCH(AN97,Catalog!$A$5:$A$400,0)),""))</f>
        <v/>
      </c>
      <c r="AT97" s="44" t="str">
        <f aca="false">IF(AN97="","",IFERROR(INDEX(Catalog!$F$5:$F$400,MATCH(AN97,Catalog!$A$5:$A$400,0)),""))</f>
        <v/>
      </c>
      <c r="AU97" s="31" t="str">
        <f aca="false">IF(AND(B97&lt;&gt;"",ISNUMBER(V97)),V97+ROW()/100000,"")</f>
        <v/>
      </c>
    </row>
    <row r="98" customFormat="false" ht="15" hidden="false" customHeight="false" outlineLevel="0" collapsed="false">
      <c r="A98" s="31" t="str">
        <f aca="false">IF(B98="","",ROW()-5)</f>
        <v/>
      </c>
      <c r="B98" s="32"/>
      <c r="C98" s="32"/>
      <c r="D98" s="32"/>
      <c r="E98" s="32"/>
      <c r="F98" s="32"/>
      <c r="G98" s="32"/>
      <c r="H98" s="33"/>
      <c r="I98" s="33"/>
      <c r="J98" s="32"/>
      <c r="K98" s="33"/>
      <c r="L98" s="32"/>
      <c r="M98" s="34"/>
      <c r="N98" s="34"/>
      <c r="O98" s="35" t="str">
        <f aca="false">IF(OR(M98="",N98="",M98=0),"",N98/M98)</f>
        <v/>
      </c>
      <c r="P98" s="36"/>
      <c r="Q98" s="37"/>
      <c r="R98" s="38" t="str">
        <f aca="false">IF(Q98&lt;&gt;"",Q98,IF(AND(P98&lt;&gt;"",M98&lt;&gt;""),P98*12*M98,""))</f>
        <v/>
      </c>
      <c r="S98" s="32"/>
      <c r="T98" s="32"/>
      <c r="U98" s="39"/>
      <c r="V98" s="39"/>
      <c r="W98" s="34"/>
      <c r="X98" s="32"/>
      <c r="Y98" s="34"/>
      <c r="Z98" s="40" t="str">
        <f aca="false">IF(OR(V98="",Y98=""),"",V98-Y98)</f>
        <v/>
      </c>
      <c r="AA98" s="41" t="str">
        <f aca="true">IF(V98="","",V98-TODAY())</f>
        <v/>
      </c>
      <c r="AB98" s="42" t="str">
        <f aca="false">IF(V98="","",IF(AA98&lt;0,"Past due",IF(AA98&lt;=90,"0–90 days",IF(AA98&lt;=180,"91–180 days",IF(AA98&lt;=365,"181–365 days","Over a year")))))</f>
        <v/>
      </c>
      <c r="AC98" s="43"/>
      <c r="AD98" s="32"/>
      <c r="AE98" s="32"/>
      <c r="AF98" s="33"/>
      <c r="AG98" s="32"/>
      <c r="AH98" s="33"/>
      <c r="AI98" s="32"/>
      <c r="AJ98" s="33"/>
      <c r="AK98" s="32"/>
      <c r="AL98" s="32"/>
      <c r="AM98" s="33"/>
      <c r="AN98" s="31" t="str">
        <f aca="false">IF(B98="","",IFERROR(INDEX(Lookup!$B$2:$B$3000,MATCH(TRIM(B98),Lookup!$A$2:$A$3000,0)),""))</f>
        <v/>
      </c>
      <c r="AO98" s="42" t="str">
        <f aca="false">IF(B98="","",IF(AN98="","No – will be reviewed","Yes"))</f>
        <v/>
      </c>
      <c r="AP98" s="31" t="str">
        <f aca="false">IF(AN98="","",IFERROR(INDEX(Catalog!$B$5:$B$400,MATCH(AN98,Catalog!$A$5:$A$400,0)),""))</f>
        <v/>
      </c>
      <c r="AQ98" s="31" t="str">
        <f aca="false">IF(AN98="","",IFERROR(INDEX(Catalog!$C$5:$C$400,MATCH(AN98,Catalog!$A$5:$A$400,0)),""))</f>
        <v/>
      </c>
      <c r="AR98" s="31" t="str">
        <f aca="false">IF(AN98="","",IFERROR(INDEX(Catalog!$D$5:$D$400,MATCH(AN98,Catalog!$A$5:$A$400,0)),""))</f>
        <v/>
      </c>
      <c r="AS98" s="31" t="str">
        <f aca="false">IF(AN98="","",IFERROR(INDEX(Catalog!$E$5:$E$400,MATCH(AN98,Catalog!$A$5:$A$400,0)),""))</f>
        <v/>
      </c>
      <c r="AT98" s="44" t="str">
        <f aca="false">IF(AN98="","",IFERROR(INDEX(Catalog!$F$5:$F$400,MATCH(AN98,Catalog!$A$5:$A$400,0)),""))</f>
        <v/>
      </c>
      <c r="AU98" s="31" t="str">
        <f aca="false">IF(AND(B98&lt;&gt;"",ISNUMBER(V98)),V98+ROW()/100000,"")</f>
        <v/>
      </c>
    </row>
    <row r="99" customFormat="false" ht="15" hidden="false" customHeight="false" outlineLevel="0" collapsed="false">
      <c r="A99" s="31" t="str">
        <f aca="false">IF(B99="","",ROW()-5)</f>
        <v/>
      </c>
      <c r="B99" s="32"/>
      <c r="C99" s="32"/>
      <c r="D99" s="32"/>
      <c r="E99" s="32"/>
      <c r="F99" s="32"/>
      <c r="G99" s="32"/>
      <c r="H99" s="33"/>
      <c r="I99" s="33"/>
      <c r="J99" s="32"/>
      <c r="K99" s="33"/>
      <c r="L99" s="32"/>
      <c r="M99" s="34"/>
      <c r="N99" s="34"/>
      <c r="O99" s="35" t="str">
        <f aca="false">IF(OR(M99="",N99="",M99=0),"",N99/M99)</f>
        <v/>
      </c>
      <c r="P99" s="36"/>
      <c r="Q99" s="37"/>
      <c r="R99" s="38" t="str">
        <f aca="false">IF(Q99&lt;&gt;"",Q99,IF(AND(P99&lt;&gt;"",M99&lt;&gt;""),P99*12*M99,""))</f>
        <v/>
      </c>
      <c r="S99" s="32"/>
      <c r="T99" s="32"/>
      <c r="U99" s="39"/>
      <c r="V99" s="39"/>
      <c r="W99" s="34"/>
      <c r="X99" s="32"/>
      <c r="Y99" s="34"/>
      <c r="Z99" s="40" t="str">
        <f aca="false">IF(OR(V99="",Y99=""),"",V99-Y99)</f>
        <v/>
      </c>
      <c r="AA99" s="41" t="str">
        <f aca="true">IF(V99="","",V99-TODAY())</f>
        <v/>
      </c>
      <c r="AB99" s="42" t="str">
        <f aca="false">IF(V99="","",IF(AA99&lt;0,"Past due",IF(AA99&lt;=90,"0–90 days",IF(AA99&lt;=180,"91–180 days",IF(AA99&lt;=365,"181–365 days","Over a year")))))</f>
        <v/>
      </c>
      <c r="AC99" s="43"/>
      <c r="AD99" s="32"/>
      <c r="AE99" s="32"/>
      <c r="AF99" s="33"/>
      <c r="AG99" s="32"/>
      <c r="AH99" s="33"/>
      <c r="AI99" s="32"/>
      <c r="AJ99" s="33"/>
      <c r="AK99" s="32"/>
      <c r="AL99" s="32"/>
      <c r="AM99" s="33"/>
      <c r="AN99" s="31" t="str">
        <f aca="false">IF(B99="","",IFERROR(INDEX(Lookup!$B$2:$B$3000,MATCH(TRIM(B99),Lookup!$A$2:$A$3000,0)),""))</f>
        <v/>
      </c>
      <c r="AO99" s="42" t="str">
        <f aca="false">IF(B99="","",IF(AN99="","No – will be reviewed","Yes"))</f>
        <v/>
      </c>
      <c r="AP99" s="31" t="str">
        <f aca="false">IF(AN99="","",IFERROR(INDEX(Catalog!$B$5:$B$400,MATCH(AN99,Catalog!$A$5:$A$400,0)),""))</f>
        <v/>
      </c>
      <c r="AQ99" s="31" t="str">
        <f aca="false">IF(AN99="","",IFERROR(INDEX(Catalog!$C$5:$C$400,MATCH(AN99,Catalog!$A$5:$A$400,0)),""))</f>
        <v/>
      </c>
      <c r="AR99" s="31" t="str">
        <f aca="false">IF(AN99="","",IFERROR(INDEX(Catalog!$D$5:$D$400,MATCH(AN99,Catalog!$A$5:$A$400,0)),""))</f>
        <v/>
      </c>
      <c r="AS99" s="31" t="str">
        <f aca="false">IF(AN99="","",IFERROR(INDEX(Catalog!$E$5:$E$400,MATCH(AN99,Catalog!$A$5:$A$400,0)),""))</f>
        <v/>
      </c>
      <c r="AT99" s="44" t="str">
        <f aca="false">IF(AN99="","",IFERROR(INDEX(Catalog!$F$5:$F$400,MATCH(AN99,Catalog!$A$5:$A$400,0)),""))</f>
        <v/>
      </c>
      <c r="AU99" s="31" t="str">
        <f aca="false">IF(AND(B99&lt;&gt;"",ISNUMBER(V99)),V99+ROW()/100000,"")</f>
        <v/>
      </c>
    </row>
    <row r="100" customFormat="false" ht="15" hidden="false" customHeight="false" outlineLevel="0" collapsed="false">
      <c r="A100" s="31" t="str">
        <f aca="false">IF(B100="","",ROW()-5)</f>
        <v/>
      </c>
      <c r="B100" s="32"/>
      <c r="C100" s="32"/>
      <c r="D100" s="32"/>
      <c r="E100" s="32"/>
      <c r="F100" s="32"/>
      <c r="G100" s="32"/>
      <c r="H100" s="33"/>
      <c r="I100" s="33"/>
      <c r="J100" s="32"/>
      <c r="K100" s="33"/>
      <c r="L100" s="32"/>
      <c r="M100" s="34"/>
      <c r="N100" s="34"/>
      <c r="O100" s="35" t="str">
        <f aca="false">IF(OR(M100="",N100="",M100=0),"",N100/M100)</f>
        <v/>
      </c>
      <c r="P100" s="36"/>
      <c r="Q100" s="37"/>
      <c r="R100" s="38" t="str">
        <f aca="false">IF(Q100&lt;&gt;"",Q100,IF(AND(P100&lt;&gt;"",M100&lt;&gt;""),P100*12*M100,""))</f>
        <v/>
      </c>
      <c r="S100" s="32"/>
      <c r="T100" s="32"/>
      <c r="U100" s="39"/>
      <c r="V100" s="39"/>
      <c r="W100" s="34"/>
      <c r="X100" s="32"/>
      <c r="Y100" s="34"/>
      <c r="Z100" s="40" t="str">
        <f aca="false">IF(OR(V100="",Y100=""),"",V100-Y100)</f>
        <v/>
      </c>
      <c r="AA100" s="41" t="str">
        <f aca="true">IF(V100="","",V100-TODAY())</f>
        <v/>
      </c>
      <c r="AB100" s="42" t="str">
        <f aca="false">IF(V100="","",IF(AA100&lt;0,"Past due",IF(AA100&lt;=90,"0–90 days",IF(AA100&lt;=180,"91–180 days",IF(AA100&lt;=365,"181–365 days","Over a year")))))</f>
        <v/>
      </c>
      <c r="AC100" s="43"/>
      <c r="AD100" s="32"/>
      <c r="AE100" s="32"/>
      <c r="AF100" s="33"/>
      <c r="AG100" s="32"/>
      <c r="AH100" s="33"/>
      <c r="AI100" s="32"/>
      <c r="AJ100" s="33"/>
      <c r="AK100" s="32"/>
      <c r="AL100" s="32"/>
      <c r="AM100" s="33"/>
      <c r="AN100" s="31" t="str">
        <f aca="false">IF(B100="","",IFERROR(INDEX(Lookup!$B$2:$B$3000,MATCH(TRIM(B100),Lookup!$A$2:$A$3000,0)),""))</f>
        <v/>
      </c>
      <c r="AO100" s="42" t="str">
        <f aca="false">IF(B100="","",IF(AN100="","No – will be reviewed","Yes"))</f>
        <v/>
      </c>
      <c r="AP100" s="31" t="str">
        <f aca="false">IF(AN100="","",IFERROR(INDEX(Catalog!$B$5:$B$400,MATCH(AN100,Catalog!$A$5:$A$400,0)),""))</f>
        <v/>
      </c>
      <c r="AQ100" s="31" t="str">
        <f aca="false">IF(AN100="","",IFERROR(INDEX(Catalog!$C$5:$C$400,MATCH(AN100,Catalog!$A$5:$A$400,0)),""))</f>
        <v/>
      </c>
      <c r="AR100" s="31" t="str">
        <f aca="false">IF(AN100="","",IFERROR(INDEX(Catalog!$D$5:$D$400,MATCH(AN100,Catalog!$A$5:$A$400,0)),""))</f>
        <v/>
      </c>
      <c r="AS100" s="31" t="str">
        <f aca="false">IF(AN100="","",IFERROR(INDEX(Catalog!$E$5:$E$400,MATCH(AN100,Catalog!$A$5:$A$400,0)),""))</f>
        <v/>
      </c>
      <c r="AT100" s="44" t="str">
        <f aca="false">IF(AN100="","",IFERROR(INDEX(Catalog!$F$5:$F$400,MATCH(AN100,Catalog!$A$5:$A$400,0)),""))</f>
        <v/>
      </c>
      <c r="AU100" s="31" t="str">
        <f aca="false">IF(AND(B100&lt;&gt;"",ISNUMBER(V100)),V100+ROW()/100000,"")</f>
        <v/>
      </c>
    </row>
    <row r="101" customFormat="false" ht="15" hidden="false" customHeight="false" outlineLevel="0" collapsed="false">
      <c r="A101" s="31" t="str">
        <f aca="false">IF(B101="","",ROW()-5)</f>
        <v/>
      </c>
      <c r="B101" s="32"/>
      <c r="C101" s="32"/>
      <c r="D101" s="32"/>
      <c r="E101" s="32"/>
      <c r="F101" s="32"/>
      <c r="G101" s="32"/>
      <c r="H101" s="33"/>
      <c r="I101" s="33"/>
      <c r="J101" s="32"/>
      <c r="K101" s="33"/>
      <c r="L101" s="32"/>
      <c r="M101" s="34"/>
      <c r="N101" s="34"/>
      <c r="O101" s="35" t="str">
        <f aca="false">IF(OR(M101="",N101="",M101=0),"",N101/M101)</f>
        <v/>
      </c>
      <c r="P101" s="36"/>
      <c r="Q101" s="37"/>
      <c r="R101" s="38" t="str">
        <f aca="false">IF(Q101&lt;&gt;"",Q101,IF(AND(P101&lt;&gt;"",M101&lt;&gt;""),P101*12*M101,""))</f>
        <v/>
      </c>
      <c r="S101" s="32"/>
      <c r="T101" s="32"/>
      <c r="U101" s="39"/>
      <c r="V101" s="39"/>
      <c r="W101" s="34"/>
      <c r="X101" s="32"/>
      <c r="Y101" s="34"/>
      <c r="Z101" s="40" t="str">
        <f aca="false">IF(OR(V101="",Y101=""),"",V101-Y101)</f>
        <v/>
      </c>
      <c r="AA101" s="41" t="str">
        <f aca="true">IF(V101="","",V101-TODAY())</f>
        <v/>
      </c>
      <c r="AB101" s="42" t="str">
        <f aca="false">IF(V101="","",IF(AA101&lt;0,"Past due",IF(AA101&lt;=90,"0–90 days",IF(AA101&lt;=180,"91–180 days",IF(AA101&lt;=365,"181–365 days","Over a year")))))</f>
        <v/>
      </c>
      <c r="AC101" s="43"/>
      <c r="AD101" s="32"/>
      <c r="AE101" s="32"/>
      <c r="AF101" s="33"/>
      <c r="AG101" s="32"/>
      <c r="AH101" s="33"/>
      <c r="AI101" s="32"/>
      <c r="AJ101" s="33"/>
      <c r="AK101" s="32"/>
      <c r="AL101" s="32"/>
      <c r="AM101" s="33"/>
      <c r="AN101" s="31" t="str">
        <f aca="false">IF(B101="","",IFERROR(INDEX(Lookup!$B$2:$B$3000,MATCH(TRIM(B101),Lookup!$A$2:$A$3000,0)),""))</f>
        <v/>
      </c>
      <c r="AO101" s="42" t="str">
        <f aca="false">IF(B101="","",IF(AN101="","No – will be reviewed","Yes"))</f>
        <v/>
      </c>
      <c r="AP101" s="31" t="str">
        <f aca="false">IF(AN101="","",IFERROR(INDEX(Catalog!$B$5:$B$400,MATCH(AN101,Catalog!$A$5:$A$400,0)),""))</f>
        <v/>
      </c>
      <c r="AQ101" s="31" t="str">
        <f aca="false">IF(AN101="","",IFERROR(INDEX(Catalog!$C$5:$C$400,MATCH(AN101,Catalog!$A$5:$A$400,0)),""))</f>
        <v/>
      </c>
      <c r="AR101" s="31" t="str">
        <f aca="false">IF(AN101="","",IFERROR(INDEX(Catalog!$D$5:$D$400,MATCH(AN101,Catalog!$A$5:$A$400,0)),""))</f>
        <v/>
      </c>
      <c r="AS101" s="31" t="str">
        <f aca="false">IF(AN101="","",IFERROR(INDEX(Catalog!$E$5:$E$400,MATCH(AN101,Catalog!$A$5:$A$400,0)),""))</f>
        <v/>
      </c>
      <c r="AT101" s="44" t="str">
        <f aca="false">IF(AN101="","",IFERROR(INDEX(Catalog!$F$5:$F$400,MATCH(AN101,Catalog!$A$5:$A$400,0)),""))</f>
        <v/>
      </c>
      <c r="AU101" s="31" t="str">
        <f aca="false">IF(AND(B101&lt;&gt;"",ISNUMBER(V101)),V101+ROW()/100000,"")</f>
        <v/>
      </c>
    </row>
    <row r="102" customFormat="false" ht="15" hidden="false" customHeight="false" outlineLevel="0" collapsed="false">
      <c r="A102" s="31" t="str">
        <f aca="false">IF(B102="","",ROW()-5)</f>
        <v/>
      </c>
      <c r="B102" s="32"/>
      <c r="C102" s="32"/>
      <c r="D102" s="32"/>
      <c r="E102" s="32"/>
      <c r="F102" s="32"/>
      <c r="G102" s="32"/>
      <c r="H102" s="33"/>
      <c r="I102" s="33"/>
      <c r="J102" s="32"/>
      <c r="K102" s="33"/>
      <c r="L102" s="32"/>
      <c r="M102" s="34"/>
      <c r="N102" s="34"/>
      <c r="O102" s="35" t="str">
        <f aca="false">IF(OR(M102="",N102="",M102=0),"",N102/M102)</f>
        <v/>
      </c>
      <c r="P102" s="36"/>
      <c r="Q102" s="37"/>
      <c r="R102" s="38" t="str">
        <f aca="false">IF(Q102&lt;&gt;"",Q102,IF(AND(P102&lt;&gt;"",M102&lt;&gt;""),P102*12*M102,""))</f>
        <v/>
      </c>
      <c r="S102" s="32"/>
      <c r="T102" s="32"/>
      <c r="U102" s="39"/>
      <c r="V102" s="39"/>
      <c r="W102" s="34"/>
      <c r="X102" s="32"/>
      <c r="Y102" s="34"/>
      <c r="Z102" s="40" t="str">
        <f aca="false">IF(OR(V102="",Y102=""),"",V102-Y102)</f>
        <v/>
      </c>
      <c r="AA102" s="41" t="str">
        <f aca="true">IF(V102="","",V102-TODAY())</f>
        <v/>
      </c>
      <c r="AB102" s="42" t="str">
        <f aca="false">IF(V102="","",IF(AA102&lt;0,"Past due",IF(AA102&lt;=90,"0–90 days",IF(AA102&lt;=180,"91–180 days",IF(AA102&lt;=365,"181–365 days","Over a year")))))</f>
        <v/>
      </c>
      <c r="AC102" s="43"/>
      <c r="AD102" s="32"/>
      <c r="AE102" s="32"/>
      <c r="AF102" s="33"/>
      <c r="AG102" s="32"/>
      <c r="AH102" s="33"/>
      <c r="AI102" s="32"/>
      <c r="AJ102" s="33"/>
      <c r="AK102" s="32"/>
      <c r="AL102" s="32"/>
      <c r="AM102" s="33"/>
      <c r="AN102" s="31" t="str">
        <f aca="false">IF(B102="","",IFERROR(INDEX(Lookup!$B$2:$B$3000,MATCH(TRIM(B102),Lookup!$A$2:$A$3000,0)),""))</f>
        <v/>
      </c>
      <c r="AO102" s="42" t="str">
        <f aca="false">IF(B102="","",IF(AN102="","No – will be reviewed","Yes"))</f>
        <v/>
      </c>
      <c r="AP102" s="31" t="str">
        <f aca="false">IF(AN102="","",IFERROR(INDEX(Catalog!$B$5:$B$400,MATCH(AN102,Catalog!$A$5:$A$400,0)),""))</f>
        <v/>
      </c>
      <c r="AQ102" s="31" t="str">
        <f aca="false">IF(AN102="","",IFERROR(INDEX(Catalog!$C$5:$C$400,MATCH(AN102,Catalog!$A$5:$A$400,0)),""))</f>
        <v/>
      </c>
      <c r="AR102" s="31" t="str">
        <f aca="false">IF(AN102="","",IFERROR(INDEX(Catalog!$D$5:$D$400,MATCH(AN102,Catalog!$A$5:$A$400,0)),""))</f>
        <v/>
      </c>
      <c r="AS102" s="31" t="str">
        <f aca="false">IF(AN102="","",IFERROR(INDEX(Catalog!$E$5:$E$400,MATCH(AN102,Catalog!$A$5:$A$400,0)),""))</f>
        <v/>
      </c>
      <c r="AT102" s="44" t="str">
        <f aca="false">IF(AN102="","",IFERROR(INDEX(Catalog!$F$5:$F$400,MATCH(AN102,Catalog!$A$5:$A$400,0)),""))</f>
        <v/>
      </c>
      <c r="AU102" s="31" t="str">
        <f aca="false">IF(AND(B102&lt;&gt;"",ISNUMBER(V102)),V102+ROW()/100000,"")</f>
        <v/>
      </c>
    </row>
    <row r="103" customFormat="false" ht="15" hidden="false" customHeight="false" outlineLevel="0" collapsed="false">
      <c r="A103" s="31" t="str">
        <f aca="false">IF(B103="","",ROW()-5)</f>
        <v/>
      </c>
      <c r="B103" s="32"/>
      <c r="C103" s="32"/>
      <c r="D103" s="32"/>
      <c r="E103" s="32"/>
      <c r="F103" s="32"/>
      <c r="G103" s="32"/>
      <c r="H103" s="33"/>
      <c r="I103" s="33"/>
      <c r="J103" s="32"/>
      <c r="K103" s="33"/>
      <c r="L103" s="32"/>
      <c r="M103" s="34"/>
      <c r="N103" s="34"/>
      <c r="O103" s="35" t="str">
        <f aca="false">IF(OR(M103="",N103="",M103=0),"",N103/M103)</f>
        <v/>
      </c>
      <c r="P103" s="36"/>
      <c r="Q103" s="37"/>
      <c r="R103" s="38" t="str">
        <f aca="false">IF(Q103&lt;&gt;"",Q103,IF(AND(P103&lt;&gt;"",M103&lt;&gt;""),P103*12*M103,""))</f>
        <v/>
      </c>
      <c r="S103" s="32"/>
      <c r="T103" s="32"/>
      <c r="U103" s="39"/>
      <c r="V103" s="39"/>
      <c r="W103" s="34"/>
      <c r="X103" s="32"/>
      <c r="Y103" s="34"/>
      <c r="Z103" s="40" t="str">
        <f aca="false">IF(OR(V103="",Y103=""),"",V103-Y103)</f>
        <v/>
      </c>
      <c r="AA103" s="41" t="str">
        <f aca="true">IF(V103="","",V103-TODAY())</f>
        <v/>
      </c>
      <c r="AB103" s="42" t="str">
        <f aca="false">IF(V103="","",IF(AA103&lt;0,"Past due",IF(AA103&lt;=90,"0–90 days",IF(AA103&lt;=180,"91–180 days",IF(AA103&lt;=365,"181–365 days","Over a year")))))</f>
        <v/>
      </c>
      <c r="AC103" s="43"/>
      <c r="AD103" s="32"/>
      <c r="AE103" s="32"/>
      <c r="AF103" s="33"/>
      <c r="AG103" s="32"/>
      <c r="AH103" s="33"/>
      <c r="AI103" s="32"/>
      <c r="AJ103" s="33"/>
      <c r="AK103" s="32"/>
      <c r="AL103" s="32"/>
      <c r="AM103" s="33"/>
      <c r="AN103" s="31" t="str">
        <f aca="false">IF(B103="","",IFERROR(INDEX(Lookup!$B$2:$B$3000,MATCH(TRIM(B103),Lookup!$A$2:$A$3000,0)),""))</f>
        <v/>
      </c>
      <c r="AO103" s="42" t="str">
        <f aca="false">IF(B103="","",IF(AN103="","No – will be reviewed","Yes"))</f>
        <v/>
      </c>
      <c r="AP103" s="31" t="str">
        <f aca="false">IF(AN103="","",IFERROR(INDEX(Catalog!$B$5:$B$400,MATCH(AN103,Catalog!$A$5:$A$400,0)),""))</f>
        <v/>
      </c>
      <c r="AQ103" s="31" t="str">
        <f aca="false">IF(AN103="","",IFERROR(INDEX(Catalog!$C$5:$C$400,MATCH(AN103,Catalog!$A$5:$A$400,0)),""))</f>
        <v/>
      </c>
      <c r="AR103" s="31" t="str">
        <f aca="false">IF(AN103="","",IFERROR(INDEX(Catalog!$D$5:$D$400,MATCH(AN103,Catalog!$A$5:$A$400,0)),""))</f>
        <v/>
      </c>
      <c r="AS103" s="31" t="str">
        <f aca="false">IF(AN103="","",IFERROR(INDEX(Catalog!$E$5:$E$400,MATCH(AN103,Catalog!$A$5:$A$400,0)),""))</f>
        <v/>
      </c>
      <c r="AT103" s="44" t="str">
        <f aca="false">IF(AN103="","",IFERROR(INDEX(Catalog!$F$5:$F$400,MATCH(AN103,Catalog!$A$5:$A$400,0)),""))</f>
        <v/>
      </c>
      <c r="AU103" s="31" t="str">
        <f aca="false">IF(AND(B103&lt;&gt;"",ISNUMBER(V103)),V103+ROW()/100000,"")</f>
        <v/>
      </c>
    </row>
    <row r="104" customFormat="false" ht="15" hidden="false" customHeight="false" outlineLevel="0" collapsed="false">
      <c r="A104" s="31" t="str">
        <f aca="false">IF(B104="","",ROW()-5)</f>
        <v/>
      </c>
      <c r="B104" s="32"/>
      <c r="C104" s="32"/>
      <c r="D104" s="32"/>
      <c r="E104" s="32"/>
      <c r="F104" s="32"/>
      <c r="G104" s="32"/>
      <c r="H104" s="33"/>
      <c r="I104" s="33"/>
      <c r="J104" s="32"/>
      <c r="K104" s="33"/>
      <c r="L104" s="32"/>
      <c r="M104" s="34"/>
      <c r="N104" s="34"/>
      <c r="O104" s="35" t="str">
        <f aca="false">IF(OR(M104="",N104="",M104=0),"",N104/M104)</f>
        <v/>
      </c>
      <c r="P104" s="36"/>
      <c r="Q104" s="37"/>
      <c r="R104" s="38" t="str">
        <f aca="false">IF(Q104&lt;&gt;"",Q104,IF(AND(P104&lt;&gt;"",M104&lt;&gt;""),P104*12*M104,""))</f>
        <v/>
      </c>
      <c r="S104" s="32"/>
      <c r="T104" s="32"/>
      <c r="U104" s="39"/>
      <c r="V104" s="39"/>
      <c r="W104" s="34"/>
      <c r="X104" s="32"/>
      <c r="Y104" s="34"/>
      <c r="Z104" s="40" t="str">
        <f aca="false">IF(OR(V104="",Y104=""),"",V104-Y104)</f>
        <v/>
      </c>
      <c r="AA104" s="41" t="str">
        <f aca="true">IF(V104="","",V104-TODAY())</f>
        <v/>
      </c>
      <c r="AB104" s="42" t="str">
        <f aca="false">IF(V104="","",IF(AA104&lt;0,"Past due",IF(AA104&lt;=90,"0–90 days",IF(AA104&lt;=180,"91–180 days",IF(AA104&lt;=365,"181–365 days","Over a year")))))</f>
        <v/>
      </c>
      <c r="AC104" s="43"/>
      <c r="AD104" s="32"/>
      <c r="AE104" s="32"/>
      <c r="AF104" s="33"/>
      <c r="AG104" s="32"/>
      <c r="AH104" s="33"/>
      <c r="AI104" s="32"/>
      <c r="AJ104" s="33"/>
      <c r="AK104" s="32"/>
      <c r="AL104" s="32"/>
      <c r="AM104" s="33"/>
      <c r="AN104" s="31" t="str">
        <f aca="false">IF(B104="","",IFERROR(INDEX(Lookup!$B$2:$B$3000,MATCH(TRIM(B104),Lookup!$A$2:$A$3000,0)),""))</f>
        <v/>
      </c>
      <c r="AO104" s="42" t="str">
        <f aca="false">IF(B104="","",IF(AN104="","No – will be reviewed","Yes"))</f>
        <v/>
      </c>
      <c r="AP104" s="31" t="str">
        <f aca="false">IF(AN104="","",IFERROR(INDEX(Catalog!$B$5:$B$400,MATCH(AN104,Catalog!$A$5:$A$400,0)),""))</f>
        <v/>
      </c>
      <c r="AQ104" s="31" t="str">
        <f aca="false">IF(AN104="","",IFERROR(INDEX(Catalog!$C$5:$C$400,MATCH(AN104,Catalog!$A$5:$A$400,0)),""))</f>
        <v/>
      </c>
      <c r="AR104" s="31" t="str">
        <f aca="false">IF(AN104="","",IFERROR(INDEX(Catalog!$D$5:$D$400,MATCH(AN104,Catalog!$A$5:$A$400,0)),""))</f>
        <v/>
      </c>
      <c r="AS104" s="31" t="str">
        <f aca="false">IF(AN104="","",IFERROR(INDEX(Catalog!$E$5:$E$400,MATCH(AN104,Catalog!$A$5:$A$400,0)),""))</f>
        <v/>
      </c>
      <c r="AT104" s="44" t="str">
        <f aca="false">IF(AN104="","",IFERROR(INDEX(Catalog!$F$5:$F$400,MATCH(AN104,Catalog!$A$5:$A$400,0)),""))</f>
        <v/>
      </c>
      <c r="AU104" s="31" t="str">
        <f aca="false">IF(AND(B104&lt;&gt;"",ISNUMBER(V104)),V104+ROW()/100000,"")</f>
        <v/>
      </c>
    </row>
    <row r="105" customFormat="false" ht="15" hidden="false" customHeight="false" outlineLevel="0" collapsed="false">
      <c r="A105" s="31" t="str">
        <f aca="false">IF(B105="","",ROW()-5)</f>
        <v/>
      </c>
      <c r="B105" s="32"/>
      <c r="C105" s="32"/>
      <c r="D105" s="32"/>
      <c r="E105" s="32"/>
      <c r="F105" s="32"/>
      <c r="G105" s="32"/>
      <c r="H105" s="33"/>
      <c r="I105" s="33"/>
      <c r="J105" s="32"/>
      <c r="K105" s="33"/>
      <c r="L105" s="32"/>
      <c r="M105" s="34"/>
      <c r="N105" s="34"/>
      <c r="O105" s="35" t="str">
        <f aca="false">IF(OR(M105="",N105="",M105=0),"",N105/M105)</f>
        <v/>
      </c>
      <c r="P105" s="36"/>
      <c r="Q105" s="37"/>
      <c r="R105" s="38" t="str">
        <f aca="false">IF(Q105&lt;&gt;"",Q105,IF(AND(P105&lt;&gt;"",M105&lt;&gt;""),P105*12*M105,""))</f>
        <v/>
      </c>
      <c r="S105" s="32"/>
      <c r="T105" s="32"/>
      <c r="U105" s="39"/>
      <c r="V105" s="39"/>
      <c r="W105" s="34"/>
      <c r="X105" s="32"/>
      <c r="Y105" s="34"/>
      <c r="Z105" s="40" t="str">
        <f aca="false">IF(OR(V105="",Y105=""),"",V105-Y105)</f>
        <v/>
      </c>
      <c r="AA105" s="41" t="str">
        <f aca="true">IF(V105="","",V105-TODAY())</f>
        <v/>
      </c>
      <c r="AB105" s="42" t="str">
        <f aca="false">IF(V105="","",IF(AA105&lt;0,"Past due",IF(AA105&lt;=90,"0–90 days",IF(AA105&lt;=180,"91–180 days",IF(AA105&lt;=365,"181–365 days","Over a year")))))</f>
        <v/>
      </c>
      <c r="AC105" s="43"/>
      <c r="AD105" s="32"/>
      <c r="AE105" s="32"/>
      <c r="AF105" s="33"/>
      <c r="AG105" s="32"/>
      <c r="AH105" s="33"/>
      <c r="AI105" s="32"/>
      <c r="AJ105" s="33"/>
      <c r="AK105" s="32"/>
      <c r="AL105" s="32"/>
      <c r="AM105" s="33"/>
      <c r="AN105" s="31" t="str">
        <f aca="false">IF(B105="","",IFERROR(INDEX(Lookup!$B$2:$B$3000,MATCH(TRIM(B105),Lookup!$A$2:$A$3000,0)),""))</f>
        <v/>
      </c>
      <c r="AO105" s="42" t="str">
        <f aca="false">IF(B105="","",IF(AN105="","No – will be reviewed","Yes"))</f>
        <v/>
      </c>
      <c r="AP105" s="31" t="str">
        <f aca="false">IF(AN105="","",IFERROR(INDEX(Catalog!$B$5:$B$400,MATCH(AN105,Catalog!$A$5:$A$400,0)),""))</f>
        <v/>
      </c>
      <c r="AQ105" s="31" t="str">
        <f aca="false">IF(AN105="","",IFERROR(INDEX(Catalog!$C$5:$C$400,MATCH(AN105,Catalog!$A$5:$A$400,0)),""))</f>
        <v/>
      </c>
      <c r="AR105" s="31" t="str">
        <f aca="false">IF(AN105="","",IFERROR(INDEX(Catalog!$D$5:$D$400,MATCH(AN105,Catalog!$A$5:$A$400,0)),""))</f>
        <v/>
      </c>
      <c r="AS105" s="31" t="str">
        <f aca="false">IF(AN105="","",IFERROR(INDEX(Catalog!$E$5:$E$400,MATCH(AN105,Catalog!$A$5:$A$400,0)),""))</f>
        <v/>
      </c>
      <c r="AT105" s="44" t="str">
        <f aca="false">IF(AN105="","",IFERROR(INDEX(Catalog!$F$5:$F$400,MATCH(AN105,Catalog!$A$5:$A$400,0)),""))</f>
        <v/>
      </c>
      <c r="AU105" s="31" t="str">
        <f aca="false">IF(AND(B105&lt;&gt;"",ISNUMBER(V105)),V105+ROW()/100000,"")</f>
        <v/>
      </c>
    </row>
    <row r="106" customFormat="false" ht="15" hidden="false" customHeight="false" outlineLevel="0" collapsed="false">
      <c r="A106" s="31" t="str">
        <f aca="false">IF(B106="","",ROW()-5)</f>
        <v/>
      </c>
      <c r="B106" s="32"/>
      <c r="C106" s="32"/>
      <c r="D106" s="32"/>
      <c r="E106" s="32"/>
      <c r="F106" s="32"/>
      <c r="G106" s="32"/>
      <c r="H106" s="33"/>
      <c r="I106" s="33"/>
      <c r="J106" s="32"/>
      <c r="K106" s="33"/>
      <c r="L106" s="32"/>
      <c r="M106" s="34"/>
      <c r="N106" s="34"/>
      <c r="O106" s="35" t="str">
        <f aca="false">IF(OR(M106="",N106="",M106=0),"",N106/M106)</f>
        <v/>
      </c>
      <c r="P106" s="36"/>
      <c r="Q106" s="37"/>
      <c r="R106" s="38" t="str">
        <f aca="false">IF(Q106&lt;&gt;"",Q106,IF(AND(P106&lt;&gt;"",M106&lt;&gt;""),P106*12*M106,""))</f>
        <v/>
      </c>
      <c r="S106" s="32"/>
      <c r="T106" s="32"/>
      <c r="U106" s="39"/>
      <c r="V106" s="39"/>
      <c r="W106" s="34"/>
      <c r="X106" s="32"/>
      <c r="Y106" s="34"/>
      <c r="Z106" s="40" t="str">
        <f aca="false">IF(OR(V106="",Y106=""),"",V106-Y106)</f>
        <v/>
      </c>
      <c r="AA106" s="41" t="str">
        <f aca="true">IF(V106="","",V106-TODAY())</f>
        <v/>
      </c>
      <c r="AB106" s="42" t="str">
        <f aca="false">IF(V106="","",IF(AA106&lt;0,"Past due",IF(AA106&lt;=90,"0–90 days",IF(AA106&lt;=180,"91–180 days",IF(AA106&lt;=365,"181–365 days","Over a year")))))</f>
        <v/>
      </c>
      <c r="AC106" s="43"/>
      <c r="AD106" s="32"/>
      <c r="AE106" s="32"/>
      <c r="AF106" s="33"/>
      <c r="AG106" s="32"/>
      <c r="AH106" s="33"/>
      <c r="AI106" s="32"/>
      <c r="AJ106" s="33"/>
      <c r="AK106" s="32"/>
      <c r="AL106" s="32"/>
      <c r="AM106" s="33"/>
      <c r="AN106" s="31" t="str">
        <f aca="false">IF(B106="","",IFERROR(INDEX(Lookup!$B$2:$B$3000,MATCH(TRIM(B106),Lookup!$A$2:$A$3000,0)),""))</f>
        <v/>
      </c>
      <c r="AO106" s="42" t="str">
        <f aca="false">IF(B106="","",IF(AN106="","No – will be reviewed","Yes"))</f>
        <v/>
      </c>
      <c r="AP106" s="31" t="str">
        <f aca="false">IF(AN106="","",IFERROR(INDEX(Catalog!$B$5:$B$400,MATCH(AN106,Catalog!$A$5:$A$400,0)),""))</f>
        <v/>
      </c>
      <c r="AQ106" s="31" t="str">
        <f aca="false">IF(AN106="","",IFERROR(INDEX(Catalog!$C$5:$C$400,MATCH(AN106,Catalog!$A$5:$A$400,0)),""))</f>
        <v/>
      </c>
      <c r="AR106" s="31" t="str">
        <f aca="false">IF(AN106="","",IFERROR(INDEX(Catalog!$D$5:$D$400,MATCH(AN106,Catalog!$A$5:$A$400,0)),""))</f>
        <v/>
      </c>
      <c r="AS106" s="31" t="str">
        <f aca="false">IF(AN106="","",IFERROR(INDEX(Catalog!$E$5:$E$400,MATCH(AN106,Catalog!$A$5:$A$400,0)),""))</f>
        <v/>
      </c>
      <c r="AT106" s="44" t="str">
        <f aca="false">IF(AN106="","",IFERROR(INDEX(Catalog!$F$5:$F$400,MATCH(AN106,Catalog!$A$5:$A$400,0)),""))</f>
        <v/>
      </c>
      <c r="AU106" s="31" t="str">
        <f aca="false">IF(AND(B106&lt;&gt;"",ISNUMBER(V106)),V106+ROW()/100000,"")</f>
        <v/>
      </c>
    </row>
    <row r="107" customFormat="false" ht="15" hidden="false" customHeight="false" outlineLevel="0" collapsed="false">
      <c r="A107" s="31" t="str">
        <f aca="false">IF(B107="","",ROW()-5)</f>
        <v/>
      </c>
      <c r="B107" s="32"/>
      <c r="C107" s="32"/>
      <c r="D107" s="32"/>
      <c r="E107" s="32"/>
      <c r="F107" s="32"/>
      <c r="G107" s="32"/>
      <c r="H107" s="33"/>
      <c r="I107" s="33"/>
      <c r="J107" s="32"/>
      <c r="K107" s="33"/>
      <c r="L107" s="32"/>
      <c r="M107" s="34"/>
      <c r="N107" s="34"/>
      <c r="O107" s="35" t="str">
        <f aca="false">IF(OR(M107="",N107="",M107=0),"",N107/M107)</f>
        <v/>
      </c>
      <c r="P107" s="36"/>
      <c r="Q107" s="37"/>
      <c r="R107" s="38" t="str">
        <f aca="false">IF(Q107&lt;&gt;"",Q107,IF(AND(P107&lt;&gt;"",M107&lt;&gt;""),P107*12*M107,""))</f>
        <v/>
      </c>
      <c r="S107" s="32"/>
      <c r="T107" s="32"/>
      <c r="U107" s="39"/>
      <c r="V107" s="39"/>
      <c r="W107" s="34"/>
      <c r="X107" s="32"/>
      <c r="Y107" s="34"/>
      <c r="Z107" s="40" t="str">
        <f aca="false">IF(OR(V107="",Y107=""),"",V107-Y107)</f>
        <v/>
      </c>
      <c r="AA107" s="41" t="str">
        <f aca="true">IF(V107="","",V107-TODAY())</f>
        <v/>
      </c>
      <c r="AB107" s="42" t="str">
        <f aca="false">IF(V107="","",IF(AA107&lt;0,"Past due",IF(AA107&lt;=90,"0–90 days",IF(AA107&lt;=180,"91–180 days",IF(AA107&lt;=365,"181–365 days","Over a year")))))</f>
        <v/>
      </c>
      <c r="AC107" s="43"/>
      <c r="AD107" s="32"/>
      <c r="AE107" s="32"/>
      <c r="AF107" s="33"/>
      <c r="AG107" s="32"/>
      <c r="AH107" s="33"/>
      <c r="AI107" s="32"/>
      <c r="AJ107" s="33"/>
      <c r="AK107" s="32"/>
      <c r="AL107" s="32"/>
      <c r="AM107" s="33"/>
      <c r="AN107" s="31" t="str">
        <f aca="false">IF(B107="","",IFERROR(INDEX(Lookup!$B$2:$B$3000,MATCH(TRIM(B107),Lookup!$A$2:$A$3000,0)),""))</f>
        <v/>
      </c>
      <c r="AO107" s="42" t="str">
        <f aca="false">IF(B107="","",IF(AN107="","No – will be reviewed","Yes"))</f>
        <v/>
      </c>
      <c r="AP107" s="31" t="str">
        <f aca="false">IF(AN107="","",IFERROR(INDEX(Catalog!$B$5:$B$400,MATCH(AN107,Catalog!$A$5:$A$400,0)),""))</f>
        <v/>
      </c>
      <c r="AQ107" s="31" t="str">
        <f aca="false">IF(AN107="","",IFERROR(INDEX(Catalog!$C$5:$C$400,MATCH(AN107,Catalog!$A$5:$A$400,0)),""))</f>
        <v/>
      </c>
      <c r="AR107" s="31" t="str">
        <f aca="false">IF(AN107="","",IFERROR(INDEX(Catalog!$D$5:$D$400,MATCH(AN107,Catalog!$A$5:$A$400,0)),""))</f>
        <v/>
      </c>
      <c r="AS107" s="31" t="str">
        <f aca="false">IF(AN107="","",IFERROR(INDEX(Catalog!$E$5:$E$400,MATCH(AN107,Catalog!$A$5:$A$400,0)),""))</f>
        <v/>
      </c>
      <c r="AT107" s="44" t="str">
        <f aca="false">IF(AN107="","",IFERROR(INDEX(Catalog!$F$5:$F$400,MATCH(AN107,Catalog!$A$5:$A$400,0)),""))</f>
        <v/>
      </c>
      <c r="AU107" s="31" t="str">
        <f aca="false">IF(AND(B107&lt;&gt;"",ISNUMBER(V107)),V107+ROW()/100000,"")</f>
        <v/>
      </c>
    </row>
    <row r="108" customFormat="false" ht="15" hidden="false" customHeight="false" outlineLevel="0" collapsed="false">
      <c r="A108" s="31" t="str">
        <f aca="false">IF(B108="","",ROW()-5)</f>
        <v/>
      </c>
      <c r="B108" s="32"/>
      <c r="C108" s="32"/>
      <c r="D108" s="32"/>
      <c r="E108" s="32"/>
      <c r="F108" s="32"/>
      <c r="G108" s="32"/>
      <c r="H108" s="33"/>
      <c r="I108" s="33"/>
      <c r="J108" s="32"/>
      <c r="K108" s="33"/>
      <c r="L108" s="32"/>
      <c r="M108" s="34"/>
      <c r="N108" s="34"/>
      <c r="O108" s="35" t="str">
        <f aca="false">IF(OR(M108="",N108="",M108=0),"",N108/M108)</f>
        <v/>
      </c>
      <c r="P108" s="36"/>
      <c r="Q108" s="37"/>
      <c r="R108" s="38" t="str">
        <f aca="false">IF(Q108&lt;&gt;"",Q108,IF(AND(P108&lt;&gt;"",M108&lt;&gt;""),P108*12*M108,""))</f>
        <v/>
      </c>
      <c r="S108" s="32"/>
      <c r="T108" s="32"/>
      <c r="U108" s="39"/>
      <c r="V108" s="39"/>
      <c r="W108" s="34"/>
      <c r="X108" s="32"/>
      <c r="Y108" s="34"/>
      <c r="Z108" s="40" t="str">
        <f aca="false">IF(OR(V108="",Y108=""),"",V108-Y108)</f>
        <v/>
      </c>
      <c r="AA108" s="41" t="str">
        <f aca="true">IF(V108="","",V108-TODAY())</f>
        <v/>
      </c>
      <c r="AB108" s="42" t="str">
        <f aca="false">IF(V108="","",IF(AA108&lt;0,"Past due",IF(AA108&lt;=90,"0–90 days",IF(AA108&lt;=180,"91–180 days",IF(AA108&lt;=365,"181–365 days","Over a year")))))</f>
        <v/>
      </c>
      <c r="AC108" s="43"/>
      <c r="AD108" s="32"/>
      <c r="AE108" s="32"/>
      <c r="AF108" s="33"/>
      <c r="AG108" s="32"/>
      <c r="AH108" s="33"/>
      <c r="AI108" s="32"/>
      <c r="AJ108" s="33"/>
      <c r="AK108" s="32"/>
      <c r="AL108" s="32"/>
      <c r="AM108" s="33"/>
      <c r="AN108" s="31" t="str">
        <f aca="false">IF(B108="","",IFERROR(INDEX(Lookup!$B$2:$B$3000,MATCH(TRIM(B108),Lookup!$A$2:$A$3000,0)),""))</f>
        <v/>
      </c>
      <c r="AO108" s="42" t="str">
        <f aca="false">IF(B108="","",IF(AN108="","No – will be reviewed","Yes"))</f>
        <v/>
      </c>
      <c r="AP108" s="31" t="str">
        <f aca="false">IF(AN108="","",IFERROR(INDEX(Catalog!$B$5:$B$400,MATCH(AN108,Catalog!$A$5:$A$400,0)),""))</f>
        <v/>
      </c>
      <c r="AQ108" s="31" t="str">
        <f aca="false">IF(AN108="","",IFERROR(INDEX(Catalog!$C$5:$C$400,MATCH(AN108,Catalog!$A$5:$A$400,0)),""))</f>
        <v/>
      </c>
      <c r="AR108" s="31" t="str">
        <f aca="false">IF(AN108="","",IFERROR(INDEX(Catalog!$D$5:$D$400,MATCH(AN108,Catalog!$A$5:$A$400,0)),""))</f>
        <v/>
      </c>
      <c r="AS108" s="31" t="str">
        <f aca="false">IF(AN108="","",IFERROR(INDEX(Catalog!$E$5:$E$400,MATCH(AN108,Catalog!$A$5:$A$400,0)),""))</f>
        <v/>
      </c>
      <c r="AT108" s="44" t="str">
        <f aca="false">IF(AN108="","",IFERROR(INDEX(Catalog!$F$5:$F$400,MATCH(AN108,Catalog!$A$5:$A$400,0)),""))</f>
        <v/>
      </c>
      <c r="AU108" s="31" t="str">
        <f aca="false">IF(AND(B108&lt;&gt;"",ISNUMBER(V108)),V108+ROW()/100000,"")</f>
        <v/>
      </c>
    </row>
    <row r="109" customFormat="false" ht="15" hidden="false" customHeight="false" outlineLevel="0" collapsed="false">
      <c r="A109" s="31" t="str">
        <f aca="false">IF(B109="","",ROW()-5)</f>
        <v/>
      </c>
      <c r="B109" s="32"/>
      <c r="C109" s="32"/>
      <c r="D109" s="32"/>
      <c r="E109" s="32"/>
      <c r="F109" s="32"/>
      <c r="G109" s="32"/>
      <c r="H109" s="33"/>
      <c r="I109" s="33"/>
      <c r="J109" s="32"/>
      <c r="K109" s="33"/>
      <c r="L109" s="32"/>
      <c r="M109" s="34"/>
      <c r="N109" s="34"/>
      <c r="O109" s="35" t="str">
        <f aca="false">IF(OR(M109="",N109="",M109=0),"",N109/M109)</f>
        <v/>
      </c>
      <c r="P109" s="36"/>
      <c r="Q109" s="37"/>
      <c r="R109" s="38" t="str">
        <f aca="false">IF(Q109&lt;&gt;"",Q109,IF(AND(P109&lt;&gt;"",M109&lt;&gt;""),P109*12*M109,""))</f>
        <v/>
      </c>
      <c r="S109" s="32"/>
      <c r="T109" s="32"/>
      <c r="U109" s="39"/>
      <c r="V109" s="39"/>
      <c r="W109" s="34"/>
      <c r="X109" s="32"/>
      <c r="Y109" s="34"/>
      <c r="Z109" s="40" t="str">
        <f aca="false">IF(OR(V109="",Y109=""),"",V109-Y109)</f>
        <v/>
      </c>
      <c r="AA109" s="41" t="str">
        <f aca="true">IF(V109="","",V109-TODAY())</f>
        <v/>
      </c>
      <c r="AB109" s="42" t="str">
        <f aca="false">IF(V109="","",IF(AA109&lt;0,"Past due",IF(AA109&lt;=90,"0–90 days",IF(AA109&lt;=180,"91–180 days",IF(AA109&lt;=365,"181–365 days","Over a year")))))</f>
        <v/>
      </c>
      <c r="AC109" s="43"/>
      <c r="AD109" s="32"/>
      <c r="AE109" s="32"/>
      <c r="AF109" s="33"/>
      <c r="AG109" s="32"/>
      <c r="AH109" s="33"/>
      <c r="AI109" s="32"/>
      <c r="AJ109" s="33"/>
      <c r="AK109" s="32"/>
      <c r="AL109" s="32"/>
      <c r="AM109" s="33"/>
      <c r="AN109" s="31" t="str">
        <f aca="false">IF(B109="","",IFERROR(INDEX(Lookup!$B$2:$B$3000,MATCH(TRIM(B109),Lookup!$A$2:$A$3000,0)),""))</f>
        <v/>
      </c>
      <c r="AO109" s="42" t="str">
        <f aca="false">IF(B109="","",IF(AN109="","No – will be reviewed","Yes"))</f>
        <v/>
      </c>
      <c r="AP109" s="31" t="str">
        <f aca="false">IF(AN109="","",IFERROR(INDEX(Catalog!$B$5:$B$400,MATCH(AN109,Catalog!$A$5:$A$400,0)),""))</f>
        <v/>
      </c>
      <c r="AQ109" s="31" t="str">
        <f aca="false">IF(AN109="","",IFERROR(INDEX(Catalog!$C$5:$C$400,MATCH(AN109,Catalog!$A$5:$A$400,0)),""))</f>
        <v/>
      </c>
      <c r="AR109" s="31" t="str">
        <f aca="false">IF(AN109="","",IFERROR(INDEX(Catalog!$D$5:$D$400,MATCH(AN109,Catalog!$A$5:$A$400,0)),""))</f>
        <v/>
      </c>
      <c r="AS109" s="31" t="str">
        <f aca="false">IF(AN109="","",IFERROR(INDEX(Catalog!$E$5:$E$400,MATCH(AN109,Catalog!$A$5:$A$400,0)),""))</f>
        <v/>
      </c>
      <c r="AT109" s="44" t="str">
        <f aca="false">IF(AN109="","",IFERROR(INDEX(Catalog!$F$5:$F$400,MATCH(AN109,Catalog!$A$5:$A$400,0)),""))</f>
        <v/>
      </c>
      <c r="AU109" s="31" t="str">
        <f aca="false">IF(AND(B109&lt;&gt;"",ISNUMBER(V109)),V109+ROW()/100000,"")</f>
        <v/>
      </c>
    </row>
    <row r="110" customFormat="false" ht="15" hidden="false" customHeight="false" outlineLevel="0" collapsed="false">
      <c r="A110" s="31" t="str">
        <f aca="false">IF(B110="","",ROW()-5)</f>
        <v/>
      </c>
      <c r="B110" s="32"/>
      <c r="C110" s="32"/>
      <c r="D110" s="32"/>
      <c r="E110" s="32"/>
      <c r="F110" s="32"/>
      <c r="G110" s="32"/>
      <c r="H110" s="33"/>
      <c r="I110" s="33"/>
      <c r="J110" s="32"/>
      <c r="K110" s="33"/>
      <c r="L110" s="32"/>
      <c r="M110" s="34"/>
      <c r="N110" s="34"/>
      <c r="O110" s="35" t="str">
        <f aca="false">IF(OR(M110="",N110="",M110=0),"",N110/M110)</f>
        <v/>
      </c>
      <c r="P110" s="36"/>
      <c r="Q110" s="37"/>
      <c r="R110" s="38" t="str">
        <f aca="false">IF(Q110&lt;&gt;"",Q110,IF(AND(P110&lt;&gt;"",M110&lt;&gt;""),P110*12*M110,""))</f>
        <v/>
      </c>
      <c r="S110" s="32"/>
      <c r="T110" s="32"/>
      <c r="U110" s="39"/>
      <c r="V110" s="39"/>
      <c r="W110" s="34"/>
      <c r="X110" s="32"/>
      <c r="Y110" s="34"/>
      <c r="Z110" s="40" t="str">
        <f aca="false">IF(OR(V110="",Y110=""),"",V110-Y110)</f>
        <v/>
      </c>
      <c r="AA110" s="41" t="str">
        <f aca="true">IF(V110="","",V110-TODAY())</f>
        <v/>
      </c>
      <c r="AB110" s="42" t="str">
        <f aca="false">IF(V110="","",IF(AA110&lt;0,"Past due",IF(AA110&lt;=90,"0–90 days",IF(AA110&lt;=180,"91–180 days",IF(AA110&lt;=365,"181–365 days","Over a year")))))</f>
        <v/>
      </c>
      <c r="AC110" s="43"/>
      <c r="AD110" s="32"/>
      <c r="AE110" s="32"/>
      <c r="AF110" s="33"/>
      <c r="AG110" s="32"/>
      <c r="AH110" s="33"/>
      <c r="AI110" s="32"/>
      <c r="AJ110" s="33"/>
      <c r="AK110" s="32"/>
      <c r="AL110" s="32"/>
      <c r="AM110" s="33"/>
      <c r="AN110" s="31" t="str">
        <f aca="false">IF(B110="","",IFERROR(INDEX(Lookup!$B$2:$B$3000,MATCH(TRIM(B110),Lookup!$A$2:$A$3000,0)),""))</f>
        <v/>
      </c>
      <c r="AO110" s="42" t="str">
        <f aca="false">IF(B110="","",IF(AN110="","No – will be reviewed","Yes"))</f>
        <v/>
      </c>
      <c r="AP110" s="31" t="str">
        <f aca="false">IF(AN110="","",IFERROR(INDEX(Catalog!$B$5:$B$400,MATCH(AN110,Catalog!$A$5:$A$400,0)),""))</f>
        <v/>
      </c>
      <c r="AQ110" s="31" t="str">
        <f aca="false">IF(AN110="","",IFERROR(INDEX(Catalog!$C$5:$C$400,MATCH(AN110,Catalog!$A$5:$A$400,0)),""))</f>
        <v/>
      </c>
      <c r="AR110" s="31" t="str">
        <f aca="false">IF(AN110="","",IFERROR(INDEX(Catalog!$D$5:$D$400,MATCH(AN110,Catalog!$A$5:$A$400,0)),""))</f>
        <v/>
      </c>
      <c r="AS110" s="31" t="str">
        <f aca="false">IF(AN110="","",IFERROR(INDEX(Catalog!$E$5:$E$400,MATCH(AN110,Catalog!$A$5:$A$400,0)),""))</f>
        <v/>
      </c>
      <c r="AT110" s="44" t="str">
        <f aca="false">IF(AN110="","",IFERROR(INDEX(Catalog!$F$5:$F$400,MATCH(AN110,Catalog!$A$5:$A$400,0)),""))</f>
        <v/>
      </c>
      <c r="AU110" s="31" t="str">
        <f aca="false">IF(AND(B110&lt;&gt;"",ISNUMBER(V110)),V110+ROW()/100000,"")</f>
        <v/>
      </c>
    </row>
    <row r="111" customFormat="false" ht="15" hidden="false" customHeight="false" outlineLevel="0" collapsed="false">
      <c r="A111" s="31" t="str">
        <f aca="false">IF(B111="","",ROW()-5)</f>
        <v/>
      </c>
      <c r="B111" s="32"/>
      <c r="C111" s="32"/>
      <c r="D111" s="32"/>
      <c r="E111" s="32"/>
      <c r="F111" s="32"/>
      <c r="G111" s="32"/>
      <c r="H111" s="33"/>
      <c r="I111" s="33"/>
      <c r="J111" s="32"/>
      <c r="K111" s="33"/>
      <c r="L111" s="32"/>
      <c r="M111" s="34"/>
      <c r="N111" s="34"/>
      <c r="O111" s="35" t="str">
        <f aca="false">IF(OR(M111="",N111="",M111=0),"",N111/M111)</f>
        <v/>
      </c>
      <c r="P111" s="36"/>
      <c r="Q111" s="37"/>
      <c r="R111" s="38" t="str">
        <f aca="false">IF(Q111&lt;&gt;"",Q111,IF(AND(P111&lt;&gt;"",M111&lt;&gt;""),P111*12*M111,""))</f>
        <v/>
      </c>
      <c r="S111" s="32"/>
      <c r="T111" s="32"/>
      <c r="U111" s="39"/>
      <c r="V111" s="39"/>
      <c r="W111" s="34"/>
      <c r="X111" s="32"/>
      <c r="Y111" s="34"/>
      <c r="Z111" s="40" t="str">
        <f aca="false">IF(OR(V111="",Y111=""),"",V111-Y111)</f>
        <v/>
      </c>
      <c r="AA111" s="41" t="str">
        <f aca="true">IF(V111="","",V111-TODAY())</f>
        <v/>
      </c>
      <c r="AB111" s="42" t="str">
        <f aca="false">IF(V111="","",IF(AA111&lt;0,"Past due",IF(AA111&lt;=90,"0–90 days",IF(AA111&lt;=180,"91–180 days",IF(AA111&lt;=365,"181–365 days","Over a year")))))</f>
        <v/>
      </c>
      <c r="AC111" s="43"/>
      <c r="AD111" s="32"/>
      <c r="AE111" s="32"/>
      <c r="AF111" s="33"/>
      <c r="AG111" s="32"/>
      <c r="AH111" s="33"/>
      <c r="AI111" s="32"/>
      <c r="AJ111" s="33"/>
      <c r="AK111" s="32"/>
      <c r="AL111" s="32"/>
      <c r="AM111" s="33"/>
      <c r="AN111" s="31" t="str">
        <f aca="false">IF(B111="","",IFERROR(INDEX(Lookup!$B$2:$B$3000,MATCH(TRIM(B111),Lookup!$A$2:$A$3000,0)),""))</f>
        <v/>
      </c>
      <c r="AO111" s="42" t="str">
        <f aca="false">IF(B111="","",IF(AN111="","No – will be reviewed","Yes"))</f>
        <v/>
      </c>
      <c r="AP111" s="31" t="str">
        <f aca="false">IF(AN111="","",IFERROR(INDEX(Catalog!$B$5:$B$400,MATCH(AN111,Catalog!$A$5:$A$400,0)),""))</f>
        <v/>
      </c>
      <c r="AQ111" s="31" t="str">
        <f aca="false">IF(AN111="","",IFERROR(INDEX(Catalog!$C$5:$C$400,MATCH(AN111,Catalog!$A$5:$A$400,0)),""))</f>
        <v/>
      </c>
      <c r="AR111" s="31" t="str">
        <f aca="false">IF(AN111="","",IFERROR(INDEX(Catalog!$D$5:$D$400,MATCH(AN111,Catalog!$A$5:$A$400,0)),""))</f>
        <v/>
      </c>
      <c r="AS111" s="31" t="str">
        <f aca="false">IF(AN111="","",IFERROR(INDEX(Catalog!$E$5:$E$400,MATCH(AN111,Catalog!$A$5:$A$400,0)),""))</f>
        <v/>
      </c>
      <c r="AT111" s="44" t="str">
        <f aca="false">IF(AN111="","",IFERROR(INDEX(Catalog!$F$5:$F$400,MATCH(AN111,Catalog!$A$5:$A$400,0)),""))</f>
        <v/>
      </c>
      <c r="AU111" s="31" t="str">
        <f aca="false">IF(AND(B111&lt;&gt;"",ISNUMBER(V111)),V111+ROW()/100000,"")</f>
        <v/>
      </c>
    </row>
    <row r="112" customFormat="false" ht="15" hidden="false" customHeight="false" outlineLevel="0" collapsed="false">
      <c r="A112" s="31" t="str">
        <f aca="false">IF(B112="","",ROW()-5)</f>
        <v/>
      </c>
      <c r="B112" s="32"/>
      <c r="C112" s="32"/>
      <c r="D112" s="32"/>
      <c r="E112" s="32"/>
      <c r="F112" s="32"/>
      <c r="G112" s="32"/>
      <c r="H112" s="33"/>
      <c r="I112" s="33"/>
      <c r="J112" s="32"/>
      <c r="K112" s="33"/>
      <c r="L112" s="32"/>
      <c r="M112" s="34"/>
      <c r="N112" s="34"/>
      <c r="O112" s="35" t="str">
        <f aca="false">IF(OR(M112="",N112="",M112=0),"",N112/M112)</f>
        <v/>
      </c>
      <c r="P112" s="36"/>
      <c r="Q112" s="37"/>
      <c r="R112" s="38" t="str">
        <f aca="false">IF(Q112&lt;&gt;"",Q112,IF(AND(P112&lt;&gt;"",M112&lt;&gt;""),P112*12*M112,""))</f>
        <v/>
      </c>
      <c r="S112" s="32"/>
      <c r="T112" s="32"/>
      <c r="U112" s="39"/>
      <c r="V112" s="39"/>
      <c r="W112" s="34"/>
      <c r="X112" s="32"/>
      <c r="Y112" s="34"/>
      <c r="Z112" s="40" t="str">
        <f aca="false">IF(OR(V112="",Y112=""),"",V112-Y112)</f>
        <v/>
      </c>
      <c r="AA112" s="41" t="str">
        <f aca="true">IF(V112="","",V112-TODAY())</f>
        <v/>
      </c>
      <c r="AB112" s="42" t="str">
        <f aca="false">IF(V112="","",IF(AA112&lt;0,"Past due",IF(AA112&lt;=90,"0–90 days",IF(AA112&lt;=180,"91–180 days",IF(AA112&lt;=365,"181–365 days","Over a year")))))</f>
        <v/>
      </c>
      <c r="AC112" s="43"/>
      <c r="AD112" s="32"/>
      <c r="AE112" s="32"/>
      <c r="AF112" s="33"/>
      <c r="AG112" s="32"/>
      <c r="AH112" s="33"/>
      <c r="AI112" s="32"/>
      <c r="AJ112" s="33"/>
      <c r="AK112" s="32"/>
      <c r="AL112" s="32"/>
      <c r="AM112" s="33"/>
      <c r="AN112" s="31" t="str">
        <f aca="false">IF(B112="","",IFERROR(INDEX(Lookup!$B$2:$B$3000,MATCH(TRIM(B112),Lookup!$A$2:$A$3000,0)),""))</f>
        <v/>
      </c>
      <c r="AO112" s="42" t="str">
        <f aca="false">IF(B112="","",IF(AN112="","No – will be reviewed","Yes"))</f>
        <v/>
      </c>
      <c r="AP112" s="31" t="str">
        <f aca="false">IF(AN112="","",IFERROR(INDEX(Catalog!$B$5:$B$400,MATCH(AN112,Catalog!$A$5:$A$400,0)),""))</f>
        <v/>
      </c>
      <c r="AQ112" s="31" t="str">
        <f aca="false">IF(AN112="","",IFERROR(INDEX(Catalog!$C$5:$C$400,MATCH(AN112,Catalog!$A$5:$A$400,0)),""))</f>
        <v/>
      </c>
      <c r="AR112" s="31" t="str">
        <f aca="false">IF(AN112="","",IFERROR(INDEX(Catalog!$D$5:$D$400,MATCH(AN112,Catalog!$A$5:$A$400,0)),""))</f>
        <v/>
      </c>
      <c r="AS112" s="31" t="str">
        <f aca="false">IF(AN112="","",IFERROR(INDEX(Catalog!$E$5:$E$400,MATCH(AN112,Catalog!$A$5:$A$400,0)),""))</f>
        <v/>
      </c>
      <c r="AT112" s="44" t="str">
        <f aca="false">IF(AN112="","",IFERROR(INDEX(Catalog!$F$5:$F$400,MATCH(AN112,Catalog!$A$5:$A$400,0)),""))</f>
        <v/>
      </c>
      <c r="AU112" s="31" t="str">
        <f aca="false">IF(AND(B112&lt;&gt;"",ISNUMBER(V112)),V112+ROW()/100000,"")</f>
        <v/>
      </c>
    </row>
    <row r="113" customFormat="false" ht="15" hidden="false" customHeight="false" outlineLevel="0" collapsed="false">
      <c r="A113" s="31" t="str">
        <f aca="false">IF(B113="","",ROW()-5)</f>
        <v/>
      </c>
      <c r="B113" s="32"/>
      <c r="C113" s="32"/>
      <c r="D113" s="32"/>
      <c r="E113" s="32"/>
      <c r="F113" s="32"/>
      <c r="G113" s="32"/>
      <c r="H113" s="33"/>
      <c r="I113" s="33"/>
      <c r="J113" s="32"/>
      <c r="K113" s="33"/>
      <c r="L113" s="32"/>
      <c r="M113" s="34"/>
      <c r="N113" s="34"/>
      <c r="O113" s="35" t="str">
        <f aca="false">IF(OR(M113="",N113="",M113=0),"",N113/M113)</f>
        <v/>
      </c>
      <c r="P113" s="36"/>
      <c r="Q113" s="37"/>
      <c r="R113" s="38" t="str">
        <f aca="false">IF(Q113&lt;&gt;"",Q113,IF(AND(P113&lt;&gt;"",M113&lt;&gt;""),P113*12*M113,""))</f>
        <v/>
      </c>
      <c r="S113" s="32"/>
      <c r="T113" s="32"/>
      <c r="U113" s="39"/>
      <c r="V113" s="39"/>
      <c r="W113" s="34"/>
      <c r="X113" s="32"/>
      <c r="Y113" s="34"/>
      <c r="Z113" s="40" t="str">
        <f aca="false">IF(OR(V113="",Y113=""),"",V113-Y113)</f>
        <v/>
      </c>
      <c r="AA113" s="41" t="str">
        <f aca="true">IF(V113="","",V113-TODAY())</f>
        <v/>
      </c>
      <c r="AB113" s="42" t="str">
        <f aca="false">IF(V113="","",IF(AA113&lt;0,"Past due",IF(AA113&lt;=90,"0–90 days",IF(AA113&lt;=180,"91–180 days",IF(AA113&lt;=365,"181–365 days","Over a year")))))</f>
        <v/>
      </c>
      <c r="AC113" s="43"/>
      <c r="AD113" s="32"/>
      <c r="AE113" s="32"/>
      <c r="AF113" s="33"/>
      <c r="AG113" s="32"/>
      <c r="AH113" s="33"/>
      <c r="AI113" s="32"/>
      <c r="AJ113" s="33"/>
      <c r="AK113" s="32"/>
      <c r="AL113" s="32"/>
      <c r="AM113" s="33"/>
      <c r="AN113" s="31" t="str">
        <f aca="false">IF(B113="","",IFERROR(INDEX(Lookup!$B$2:$B$3000,MATCH(TRIM(B113),Lookup!$A$2:$A$3000,0)),""))</f>
        <v/>
      </c>
      <c r="AO113" s="42" t="str">
        <f aca="false">IF(B113="","",IF(AN113="","No – will be reviewed","Yes"))</f>
        <v/>
      </c>
      <c r="AP113" s="31" t="str">
        <f aca="false">IF(AN113="","",IFERROR(INDEX(Catalog!$B$5:$B$400,MATCH(AN113,Catalog!$A$5:$A$400,0)),""))</f>
        <v/>
      </c>
      <c r="AQ113" s="31" t="str">
        <f aca="false">IF(AN113="","",IFERROR(INDEX(Catalog!$C$5:$C$400,MATCH(AN113,Catalog!$A$5:$A$400,0)),""))</f>
        <v/>
      </c>
      <c r="AR113" s="31" t="str">
        <f aca="false">IF(AN113="","",IFERROR(INDEX(Catalog!$D$5:$D$400,MATCH(AN113,Catalog!$A$5:$A$400,0)),""))</f>
        <v/>
      </c>
      <c r="AS113" s="31" t="str">
        <f aca="false">IF(AN113="","",IFERROR(INDEX(Catalog!$E$5:$E$400,MATCH(AN113,Catalog!$A$5:$A$400,0)),""))</f>
        <v/>
      </c>
      <c r="AT113" s="44" t="str">
        <f aca="false">IF(AN113="","",IFERROR(INDEX(Catalog!$F$5:$F$400,MATCH(AN113,Catalog!$A$5:$A$400,0)),""))</f>
        <v/>
      </c>
      <c r="AU113" s="31" t="str">
        <f aca="false">IF(AND(B113&lt;&gt;"",ISNUMBER(V113)),V113+ROW()/100000,"")</f>
        <v/>
      </c>
    </row>
    <row r="114" customFormat="false" ht="15" hidden="false" customHeight="false" outlineLevel="0" collapsed="false">
      <c r="A114" s="31" t="str">
        <f aca="false">IF(B114="","",ROW()-5)</f>
        <v/>
      </c>
      <c r="B114" s="32"/>
      <c r="C114" s="32"/>
      <c r="D114" s="32"/>
      <c r="E114" s="32"/>
      <c r="F114" s="32"/>
      <c r="G114" s="32"/>
      <c r="H114" s="33"/>
      <c r="I114" s="33"/>
      <c r="J114" s="32"/>
      <c r="K114" s="33"/>
      <c r="L114" s="32"/>
      <c r="M114" s="34"/>
      <c r="N114" s="34"/>
      <c r="O114" s="35" t="str">
        <f aca="false">IF(OR(M114="",N114="",M114=0),"",N114/M114)</f>
        <v/>
      </c>
      <c r="P114" s="36"/>
      <c r="Q114" s="37"/>
      <c r="R114" s="38" t="str">
        <f aca="false">IF(Q114&lt;&gt;"",Q114,IF(AND(P114&lt;&gt;"",M114&lt;&gt;""),P114*12*M114,""))</f>
        <v/>
      </c>
      <c r="S114" s="32"/>
      <c r="T114" s="32"/>
      <c r="U114" s="39"/>
      <c r="V114" s="39"/>
      <c r="W114" s="34"/>
      <c r="X114" s="32"/>
      <c r="Y114" s="34"/>
      <c r="Z114" s="40" t="str">
        <f aca="false">IF(OR(V114="",Y114=""),"",V114-Y114)</f>
        <v/>
      </c>
      <c r="AA114" s="41" t="str">
        <f aca="true">IF(V114="","",V114-TODAY())</f>
        <v/>
      </c>
      <c r="AB114" s="42" t="str">
        <f aca="false">IF(V114="","",IF(AA114&lt;0,"Past due",IF(AA114&lt;=90,"0–90 days",IF(AA114&lt;=180,"91–180 days",IF(AA114&lt;=365,"181–365 days","Over a year")))))</f>
        <v/>
      </c>
      <c r="AC114" s="43"/>
      <c r="AD114" s="32"/>
      <c r="AE114" s="32"/>
      <c r="AF114" s="33"/>
      <c r="AG114" s="32"/>
      <c r="AH114" s="33"/>
      <c r="AI114" s="32"/>
      <c r="AJ114" s="33"/>
      <c r="AK114" s="32"/>
      <c r="AL114" s="32"/>
      <c r="AM114" s="33"/>
      <c r="AN114" s="31" t="str">
        <f aca="false">IF(B114="","",IFERROR(INDEX(Lookup!$B$2:$B$3000,MATCH(TRIM(B114),Lookup!$A$2:$A$3000,0)),""))</f>
        <v/>
      </c>
      <c r="AO114" s="42" t="str">
        <f aca="false">IF(B114="","",IF(AN114="","No – will be reviewed","Yes"))</f>
        <v/>
      </c>
      <c r="AP114" s="31" t="str">
        <f aca="false">IF(AN114="","",IFERROR(INDEX(Catalog!$B$5:$B$400,MATCH(AN114,Catalog!$A$5:$A$400,0)),""))</f>
        <v/>
      </c>
      <c r="AQ114" s="31" t="str">
        <f aca="false">IF(AN114="","",IFERROR(INDEX(Catalog!$C$5:$C$400,MATCH(AN114,Catalog!$A$5:$A$400,0)),""))</f>
        <v/>
      </c>
      <c r="AR114" s="31" t="str">
        <f aca="false">IF(AN114="","",IFERROR(INDEX(Catalog!$D$5:$D$400,MATCH(AN114,Catalog!$A$5:$A$400,0)),""))</f>
        <v/>
      </c>
      <c r="AS114" s="31" t="str">
        <f aca="false">IF(AN114="","",IFERROR(INDEX(Catalog!$E$5:$E$400,MATCH(AN114,Catalog!$A$5:$A$400,0)),""))</f>
        <v/>
      </c>
      <c r="AT114" s="44" t="str">
        <f aca="false">IF(AN114="","",IFERROR(INDEX(Catalog!$F$5:$F$400,MATCH(AN114,Catalog!$A$5:$A$400,0)),""))</f>
        <v/>
      </c>
      <c r="AU114" s="31" t="str">
        <f aca="false">IF(AND(B114&lt;&gt;"",ISNUMBER(V114)),V114+ROW()/100000,"")</f>
        <v/>
      </c>
    </row>
    <row r="115" customFormat="false" ht="15" hidden="false" customHeight="false" outlineLevel="0" collapsed="false">
      <c r="A115" s="31" t="str">
        <f aca="false">IF(B115="","",ROW()-5)</f>
        <v/>
      </c>
      <c r="B115" s="32"/>
      <c r="C115" s="32"/>
      <c r="D115" s="32"/>
      <c r="E115" s="32"/>
      <c r="F115" s="32"/>
      <c r="G115" s="32"/>
      <c r="H115" s="33"/>
      <c r="I115" s="33"/>
      <c r="J115" s="32"/>
      <c r="K115" s="33"/>
      <c r="L115" s="32"/>
      <c r="M115" s="34"/>
      <c r="N115" s="34"/>
      <c r="O115" s="35" t="str">
        <f aca="false">IF(OR(M115="",N115="",M115=0),"",N115/M115)</f>
        <v/>
      </c>
      <c r="P115" s="36"/>
      <c r="Q115" s="37"/>
      <c r="R115" s="38" t="str">
        <f aca="false">IF(Q115&lt;&gt;"",Q115,IF(AND(P115&lt;&gt;"",M115&lt;&gt;""),P115*12*M115,""))</f>
        <v/>
      </c>
      <c r="S115" s="32"/>
      <c r="T115" s="32"/>
      <c r="U115" s="39"/>
      <c r="V115" s="39"/>
      <c r="W115" s="34"/>
      <c r="X115" s="32"/>
      <c r="Y115" s="34"/>
      <c r="Z115" s="40" t="str">
        <f aca="false">IF(OR(V115="",Y115=""),"",V115-Y115)</f>
        <v/>
      </c>
      <c r="AA115" s="41" t="str">
        <f aca="true">IF(V115="","",V115-TODAY())</f>
        <v/>
      </c>
      <c r="AB115" s="42" t="str">
        <f aca="false">IF(V115="","",IF(AA115&lt;0,"Past due",IF(AA115&lt;=90,"0–90 days",IF(AA115&lt;=180,"91–180 days",IF(AA115&lt;=365,"181–365 days","Over a year")))))</f>
        <v/>
      </c>
      <c r="AC115" s="43"/>
      <c r="AD115" s="32"/>
      <c r="AE115" s="32"/>
      <c r="AF115" s="33"/>
      <c r="AG115" s="32"/>
      <c r="AH115" s="33"/>
      <c r="AI115" s="32"/>
      <c r="AJ115" s="33"/>
      <c r="AK115" s="32"/>
      <c r="AL115" s="32"/>
      <c r="AM115" s="33"/>
      <c r="AN115" s="31" t="str">
        <f aca="false">IF(B115="","",IFERROR(INDEX(Lookup!$B$2:$B$3000,MATCH(TRIM(B115),Lookup!$A$2:$A$3000,0)),""))</f>
        <v/>
      </c>
      <c r="AO115" s="42" t="str">
        <f aca="false">IF(B115="","",IF(AN115="","No – will be reviewed","Yes"))</f>
        <v/>
      </c>
      <c r="AP115" s="31" t="str">
        <f aca="false">IF(AN115="","",IFERROR(INDEX(Catalog!$B$5:$B$400,MATCH(AN115,Catalog!$A$5:$A$400,0)),""))</f>
        <v/>
      </c>
      <c r="AQ115" s="31" t="str">
        <f aca="false">IF(AN115="","",IFERROR(INDEX(Catalog!$C$5:$C$400,MATCH(AN115,Catalog!$A$5:$A$400,0)),""))</f>
        <v/>
      </c>
      <c r="AR115" s="31" t="str">
        <f aca="false">IF(AN115="","",IFERROR(INDEX(Catalog!$D$5:$D$400,MATCH(AN115,Catalog!$A$5:$A$400,0)),""))</f>
        <v/>
      </c>
      <c r="AS115" s="31" t="str">
        <f aca="false">IF(AN115="","",IFERROR(INDEX(Catalog!$E$5:$E$400,MATCH(AN115,Catalog!$A$5:$A$400,0)),""))</f>
        <v/>
      </c>
      <c r="AT115" s="44" t="str">
        <f aca="false">IF(AN115="","",IFERROR(INDEX(Catalog!$F$5:$F$400,MATCH(AN115,Catalog!$A$5:$A$400,0)),""))</f>
        <v/>
      </c>
      <c r="AU115" s="31" t="str">
        <f aca="false">IF(AND(B115&lt;&gt;"",ISNUMBER(V115)),V115+ROW()/100000,"")</f>
        <v/>
      </c>
    </row>
    <row r="116" customFormat="false" ht="15" hidden="false" customHeight="false" outlineLevel="0" collapsed="false">
      <c r="A116" s="31" t="str">
        <f aca="false">IF(B116="","",ROW()-5)</f>
        <v/>
      </c>
      <c r="B116" s="32"/>
      <c r="C116" s="32"/>
      <c r="D116" s="32"/>
      <c r="E116" s="32"/>
      <c r="F116" s="32"/>
      <c r="G116" s="32"/>
      <c r="H116" s="33"/>
      <c r="I116" s="33"/>
      <c r="J116" s="32"/>
      <c r="K116" s="33"/>
      <c r="L116" s="32"/>
      <c r="M116" s="34"/>
      <c r="N116" s="34"/>
      <c r="O116" s="35" t="str">
        <f aca="false">IF(OR(M116="",N116="",M116=0),"",N116/M116)</f>
        <v/>
      </c>
      <c r="P116" s="36"/>
      <c r="Q116" s="37"/>
      <c r="R116" s="38" t="str">
        <f aca="false">IF(Q116&lt;&gt;"",Q116,IF(AND(P116&lt;&gt;"",M116&lt;&gt;""),P116*12*M116,""))</f>
        <v/>
      </c>
      <c r="S116" s="32"/>
      <c r="T116" s="32"/>
      <c r="U116" s="39"/>
      <c r="V116" s="39"/>
      <c r="W116" s="34"/>
      <c r="X116" s="32"/>
      <c r="Y116" s="34"/>
      <c r="Z116" s="40" t="str">
        <f aca="false">IF(OR(V116="",Y116=""),"",V116-Y116)</f>
        <v/>
      </c>
      <c r="AA116" s="41" t="str">
        <f aca="true">IF(V116="","",V116-TODAY())</f>
        <v/>
      </c>
      <c r="AB116" s="42" t="str">
        <f aca="false">IF(V116="","",IF(AA116&lt;0,"Past due",IF(AA116&lt;=90,"0–90 days",IF(AA116&lt;=180,"91–180 days",IF(AA116&lt;=365,"181–365 days","Over a year")))))</f>
        <v/>
      </c>
      <c r="AC116" s="43"/>
      <c r="AD116" s="32"/>
      <c r="AE116" s="32"/>
      <c r="AF116" s="33"/>
      <c r="AG116" s="32"/>
      <c r="AH116" s="33"/>
      <c r="AI116" s="32"/>
      <c r="AJ116" s="33"/>
      <c r="AK116" s="32"/>
      <c r="AL116" s="32"/>
      <c r="AM116" s="33"/>
      <c r="AN116" s="31" t="str">
        <f aca="false">IF(B116="","",IFERROR(INDEX(Lookup!$B$2:$B$3000,MATCH(TRIM(B116),Lookup!$A$2:$A$3000,0)),""))</f>
        <v/>
      </c>
      <c r="AO116" s="42" t="str">
        <f aca="false">IF(B116="","",IF(AN116="","No – will be reviewed","Yes"))</f>
        <v/>
      </c>
      <c r="AP116" s="31" t="str">
        <f aca="false">IF(AN116="","",IFERROR(INDEX(Catalog!$B$5:$B$400,MATCH(AN116,Catalog!$A$5:$A$400,0)),""))</f>
        <v/>
      </c>
      <c r="AQ116" s="31" t="str">
        <f aca="false">IF(AN116="","",IFERROR(INDEX(Catalog!$C$5:$C$400,MATCH(AN116,Catalog!$A$5:$A$400,0)),""))</f>
        <v/>
      </c>
      <c r="AR116" s="31" t="str">
        <f aca="false">IF(AN116="","",IFERROR(INDEX(Catalog!$D$5:$D$400,MATCH(AN116,Catalog!$A$5:$A$400,0)),""))</f>
        <v/>
      </c>
      <c r="AS116" s="31" t="str">
        <f aca="false">IF(AN116="","",IFERROR(INDEX(Catalog!$E$5:$E$400,MATCH(AN116,Catalog!$A$5:$A$400,0)),""))</f>
        <v/>
      </c>
      <c r="AT116" s="44" t="str">
        <f aca="false">IF(AN116="","",IFERROR(INDEX(Catalog!$F$5:$F$400,MATCH(AN116,Catalog!$A$5:$A$400,0)),""))</f>
        <v/>
      </c>
      <c r="AU116" s="31" t="str">
        <f aca="false">IF(AND(B116&lt;&gt;"",ISNUMBER(V116)),V116+ROW()/100000,"")</f>
        <v/>
      </c>
    </row>
    <row r="117" customFormat="false" ht="15" hidden="false" customHeight="false" outlineLevel="0" collapsed="false">
      <c r="A117" s="31" t="str">
        <f aca="false">IF(B117="","",ROW()-5)</f>
        <v/>
      </c>
      <c r="B117" s="32"/>
      <c r="C117" s="32"/>
      <c r="D117" s="32"/>
      <c r="E117" s="32"/>
      <c r="F117" s="32"/>
      <c r="G117" s="32"/>
      <c r="H117" s="33"/>
      <c r="I117" s="33"/>
      <c r="J117" s="32"/>
      <c r="K117" s="33"/>
      <c r="L117" s="32"/>
      <c r="M117" s="34"/>
      <c r="N117" s="34"/>
      <c r="O117" s="35" t="str">
        <f aca="false">IF(OR(M117="",N117="",M117=0),"",N117/M117)</f>
        <v/>
      </c>
      <c r="P117" s="36"/>
      <c r="Q117" s="37"/>
      <c r="R117" s="38" t="str">
        <f aca="false">IF(Q117&lt;&gt;"",Q117,IF(AND(P117&lt;&gt;"",M117&lt;&gt;""),P117*12*M117,""))</f>
        <v/>
      </c>
      <c r="S117" s="32"/>
      <c r="T117" s="32"/>
      <c r="U117" s="39"/>
      <c r="V117" s="39"/>
      <c r="W117" s="34"/>
      <c r="X117" s="32"/>
      <c r="Y117" s="34"/>
      <c r="Z117" s="40" t="str">
        <f aca="false">IF(OR(V117="",Y117=""),"",V117-Y117)</f>
        <v/>
      </c>
      <c r="AA117" s="41" t="str">
        <f aca="true">IF(V117="","",V117-TODAY())</f>
        <v/>
      </c>
      <c r="AB117" s="42" t="str">
        <f aca="false">IF(V117="","",IF(AA117&lt;0,"Past due",IF(AA117&lt;=90,"0–90 days",IF(AA117&lt;=180,"91–180 days",IF(AA117&lt;=365,"181–365 days","Over a year")))))</f>
        <v/>
      </c>
      <c r="AC117" s="43"/>
      <c r="AD117" s="32"/>
      <c r="AE117" s="32"/>
      <c r="AF117" s="33"/>
      <c r="AG117" s="32"/>
      <c r="AH117" s="33"/>
      <c r="AI117" s="32"/>
      <c r="AJ117" s="33"/>
      <c r="AK117" s="32"/>
      <c r="AL117" s="32"/>
      <c r="AM117" s="33"/>
      <c r="AN117" s="31" t="str">
        <f aca="false">IF(B117="","",IFERROR(INDEX(Lookup!$B$2:$B$3000,MATCH(TRIM(B117),Lookup!$A$2:$A$3000,0)),""))</f>
        <v/>
      </c>
      <c r="AO117" s="42" t="str">
        <f aca="false">IF(B117="","",IF(AN117="","No – will be reviewed","Yes"))</f>
        <v/>
      </c>
      <c r="AP117" s="31" t="str">
        <f aca="false">IF(AN117="","",IFERROR(INDEX(Catalog!$B$5:$B$400,MATCH(AN117,Catalog!$A$5:$A$400,0)),""))</f>
        <v/>
      </c>
      <c r="AQ117" s="31" t="str">
        <f aca="false">IF(AN117="","",IFERROR(INDEX(Catalog!$C$5:$C$400,MATCH(AN117,Catalog!$A$5:$A$400,0)),""))</f>
        <v/>
      </c>
      <c r="AR117" s="31" t="str">
        <f aca="false">IF(AN117="","",IFERROR(INDEX(Catalog!$D$5:$D$400,MATCH(AN117,Catalog!$A$5:$A$400,0)),""))</f>
        <v/>
      </c>
      <c r="AS117" s="31" t="str">
        <f aca="false">IF(AN117="","",IFERROR(INDEX(Catalog!$E$5:$E$400,MATCH(AN117,Catalog!$A$5:$A$400,0)),""))</f>
        <v/>
      </c>
      <c r="AT117" s="44" t="str">
        <f aca="false">IF(AN117="","",IFERROR(INDEX(Catalog!$F$5:$F$400,MATCH(AN117,Catalog!$A$5:$A$400,0)),""))</f>
        <v/>
      </c>
      <c r="AU117" s="31" t="str">
        <f aca="false">IF(AND(B117&lt;&gt;"",ISNUMBER(V117)),V117+ROW()/100000,"")</f>
        <v/>
      </c>
    </row>
    <row r="118" customFormat="false" ht="15" hidden="false" customHeight="false" outlineLevel="0" collapsed="false">
      <c r="A118" s="31" t="str">
        <f aca="false">IF(B118="","",ROW()-5)</f>
        <v/>
      </c>
      <c r="B118" s="32"/>
      <c r="C118" s="32"/>
      <c r="D118" s="32"/>
      <c r="E118" s="32"/>
      <c r="F118" s="32"/>
      <c r="G118" s="32"/>
      <c r="H118" s="33"/>
      <c r="I118" s="33"/>
      <c r="J118" s="32"/>
      <c r="K118" s="33"/>
      <c r="L118" s="32"/>
      <c r="M118" s="34"/>
      <c r="N118" s="34"/>
      <c r="O118" s="35" t="str">
        <f aca="false">IF(OR(M118="",N118="",M118=0),"",N118/M118)</f>
        <v/>
      </c>
      <c r="P118" s="36"/>
      <c r="Q118" s="37"/>
      <c r="R118" s="38" t="str">
        <f aca="false">IF(Q118&lt;&gt;"",Q118,IF(AND(P118&lt;&gt;"",M118&lt;&gt;""),P118*12*M118,""))</f>
        <v/>
      </c>
      <c r="S118" s="32"/>
      <c r="T118" s="32"/>
      <c r="U118" s="39"/>
      <c r="V118" s="39"/>
      <c r="W118" s="34"/>
      <c r="X118" s="32"/>
      <c r="Y118" s="34"/>
      <c r="Z118" s="40" t="str">
        <f aca="false">IF(OR(V118="",Y118=""),"",V118-Y118)</f>
        <v/>
      </c>
      <c r="AA118" s="41" t="str">
        <f aca="true">IF(V118="","",V118-TODAY())</f>
        <v/>
      </c>
      <c r="AB118" s="42" t="str">
        <f aca="false">IF(V118="","",IF(AA118&lt;0,"Past due",IF(AA118&lt;=90,"0–90 days",IF(AA118&lt;=180,"91–180 days",IF(AA118&lt;=365,"181–365 days","Over a year")))))</f>
        <v/>
      </c>
      <c r="AC118" s="43"/>
      <c r="AD118" s="32"/>
      <c r="AE118" s="32"/>
      <c r="AF118" s="33"/>
      <c r="AG118" s="32"/>
      <c r="AH118" s="33"/>
      <c r="AI118" s="32"/>
      <c r="AJ118" s="33"/>
      <c r="AK118" s="32"/>
      <c r="AL118" s="32"/>
      <c r="AM118" s="33"/>
      <c r="AN118" s="31" t="str">
        <f aca="false">IF(B118="","",IFERROR(INDEX(Lookup!$B$2:$B$3000,MATCH(TRIM(B118),Lookup!$A$2:$A$3000,0)),""))</f>
        <v/>
      </c>
      <c r="AO118" s="42" t="str">
        <f aca="false">IF(B118="","",IF(AN118="","No – will be reviewed","Yes"))</f>
        <v/>
      </c>
      <c r="AP118" s="31" t="str">
        <f aca="false">IF(AN118="","",IFERROR(INDEX(Catalog!$B$5:$B$400,MATCH(AN118,Catalog!$A$5:$A$400,0)),""))</f>
        <v/>
      </c>
      <c r="AQ118" s="31" t="str">
        <f aca="false">IF(AN118="","",IFERROR(INDEX(Catalog!$C$5:$C$400,MATCH(AN118,Catalog!$A$5:$A$400,0)),""))</f>
        <v/>
      </c>
      <c r="AR118" s="31" t="str">
        <f aca="false">IF(AN118="","",IFERROR(INDEX(Catalog!$D$5:$D$400,MATCH(AN118,Catalog!$A$5:$A$400,0)),""))</f>
        <v/>
      </c>
      <c r="AS118" s="31" t="str">
        <f aca="false">IF(AN118="","",IFERROR(INDEX(Catalog!$E$5:$E$400,MATCH(AN118,Catalog!$A$5:$A$400,0)),""))</f>
        <v/>
      </c>
      <c r="AT118" s="44" t="str">
        <f aca="false">IF(AN118="","",IFERROR(INDEX(Catalog!$F$5:$F$400,MATCH(AN118,Catalog!$A$5:$A$400,0)),""))</f>
        <v/>
      </c>
      <c r="AU118" s="31" t="str">
        <f aca="false">IF(AND(B118&lt;&gt;"",ISNUMBER(V118)),V118+ROW()/100000,"")</f>
        <v/>
      </c>
    </row>
    <row r="119" customFormat="false" ht="15" hidden="false" customHeight="false" outlineLevel="0" collapsed="false">
      <c r="A119" s="31" t="str">
        <f aca="false">IF(B119="","",ROW()-5)</f>
        <v/>
      </c>
      <c r="B119" s="32"/>
      <c r="C119" s="32"/>
      <c r="D119" s="32"/>
      <c r="E119" s="32"/>
      <c r="F119" s="32"/>
      <c r="G119" s="32"/>
      <c r="H119" s="33"/>
      <c r="I119" s="33"/>
      <c r="J119" s="32"/>
      <c r="K119" s="33"/>
      <c r="L119" s="32"/>
      <c r="M119" s="34"/>
      <c r="N119" s="34"/>
      <c r="O119" s="35" t="str">
        <f aca="false">IF(OR(M119="",N119="",M119=0),"",N119/M119)</f>
        <v/>
      </c>
      <c r="P119" s="36"/>
      <c r="Q119" s="37"/>
      <c r="R119" s="38" t="str">
        <f aca="false">IF(Q119&lt;&gt;"",Q119,IF(AND(P119&lt;&gt;"",M119&lt;&gt;""),P119*12*M119,""))</f>
        <v/>
      </c>
      <c r="S119" s="32"/>
      <c r="T119" s="32"/>
      <c r="U119" s="39"/>
      <c r="V119" s="39"/>
      <c r="W119" s="34"/>
      <c r="X119" s="32"/>
      <c r="Y119" s="34"/>
      <c r="Z119" s="40" t="str">
        <f aca="false">IF(OR(V119="",Y119=""),"",V119-Y119)</f>
        <v/>
      </c>
      <c r="AA119" s="41" t="str">
        <f aca="true">IF(V119="","",V119-TODAY())</f>
        <v/>
      </c>
      <c r="AB119" s="42" t="str">
        <f aca="false">IF(V119="","",IF(AA119&lt;0,"Past due",IF(AA119&lt;=90,"0–90 days",IF(AA119&lt;=180,"91–180 days",IF(AA119&lt;=365,"181–365 days","Over a year")))))</f>
        <v/>
      </c>
      <c r="AC119" s="43"/>
      <c r="AD119" s="32"/>
      <c r="AE119" s="32"/>
      <c r="AF119" s="33"/>
      <c r="AG119" s="32"/>
      <c r="AH119" s="33"/>
      <c r="AI119" s="32"/>
      <c r="AJ119" s="33"/>
      <c r="AK119" s="32"/>
      <c r="AL119" s="32"/>
      <c r="AM119" s="33"/>
      <c r="AN119" s="31" t="str">
        <f aca="false">IF(B119="","",IFERROR(INDEX(Lookup!$B$2:$B$3000,MATCH(TRIM(B119),Lookup!$A$2:$A$3000,0)),""))</f>
        <v/>
      </c>
      <c r="AO119" s="42" t="str">
        <f aca="false">IF(B119="","",IF(AN119="","No – will be reviewed","Yes"))</f>
        <v/>
      </c>
      <c r="AP119" s="31" t="str">
        <f aca="false">IF(AN119="","",IFERROR(INDEX(Catalog!$B$5:$B$400,MATCH(AN119,Catalog!$A$5:$A$400,0)),""))</f>
        <v/>
      </c>
      <c r="AQ119" s="31" t="str">
        <f aca="false">IF(AN119="","",IFERROR(INDEX(Catalog!$C$5:$C$400,MATCH(AN119,Catalog!$A$5:$A$400,0)),""))</f>
        <v/>
      </c>
      <c r="AR119" s="31" t="str">
        <f aca="false">IF(AN119="","",IFERROR(INDEX(Catalog!$D$5:$D$400,MATCH(AN119,Catalog!$A$5:$A$400,0)),""))</f>
        <v/>
      </c>
      <c r="AS119" s="31" t="str">
        <f aca="false">IF(AN119="","",IFERROR(INDEX(Catalog!$E$5:$E$400,MATCH(AN119,Catalog!$A$5:$A$400,0)),""))</f>
        <v/>
      </c>
      <c r="AT119" s="44" t="str">
        <f aca="false">IF(AN119="","",IFERROR(INDEX(Catalog!$F$5:$F$400,MATCH(AN119,Catalog!$A$5:$A$400,0)),""))</f>
        <v/>
      </c>
      <c r="AU119" s="31" t="str">
        <f aca="false">IF(AND(B119&lt;&gt;"",ISNUMBER(V119)),V119+ROW()/100000,"")</f>
        <v/>
      </c>
    </row>
    <row r="120" customFormat="false" ht="15" hidden="false" customHeight="false" outlineLevel="0" collapsed="false">
      <c r="A120" s="31" t="str">
        <f aca="false">IF(B120="","",ROW()-5)</f>
        <v/>
      </c>
      <c r="B120" s="32"/>
      <c r="C120" s="32"/>
      <c r="D120" s="32"/>
      <c r="E120" s="32"/>
      <c r="F120" s="32"/>
      <c r="G120" s="32"/>
      <c r="H120" s="33"/>
      <c r="I120" s="33"/>
      <c r="J120" s="32"/>
      <c r="K120" s="33"/>
      <c r="L120" s="32"/>
      <c r="M120" s="34"/>
      <c r="N120" s="34"/>
      <c r="O120" s="35" t="str">
        <f aca="false">IF(OR(M120="",N120="",M120=0),"",N120/M120)</f>
        <v/>
      </c>
      <c r="P120" s="36"/>
      <c r="Q120" s="37"/>
      <c r="R120" s="38" t="str">
        <f aca="false">IF(Q120&lt;&gt;"",Q120,IF(AND(P120&lt;&gt;"",M120&lt;&gt;""),P120*12*M120,""))</f>
        <v/>
      </c>
      <c r="S120" s="32"/>
      <c r="T120" s="32"/>
      <c r="U120" s="39"/>
      <c r="V120" s="39"/>
      <c r="W120" s="34"/>
      <c r="X120" s="32"/>
      <c r="Y120" s="34"/>
      <c r="Z120" s="40" t="str">
        <f aca="false">IF(OR(V120="",Y120=""),"",V120-Y120)</f>
        <v/>
      </c>
      <c r="AA120" s="41" t="str">
        <f aca="true">IF(V120="","",V120-TODAY())</f>
        <v/>
      </c>
      <c r="AB120" s="42" t="str">
        <f aca="false">IF(V120="","",IF(AA120&lt;0,"Past due",IF(AA120&lt;=90,"0–90 days",IF(AA120&lt;=180,"91–180 days",IF(AA120&lt;=365,"181–365 days","Over a year")))))</f>
        <v/>
      </c>
      <c r="AC120" s="43"/>
      <c r="AD120" s="32"/>
      <c r="AE120" s="32"/>
      <c r="AF120" s="33"/>
      <c r="AG120" s="32"/>
      <c r="AH120" s="33"/>
      <c r="AI120" s="32"/>
      <c r="AJ120" s="33"/>
      <c r="AK120" s="32"/>
      <c r="AL120" s="32"/>
      <c r="AM120" s="33"/>
      <c r="AN120" s="31" t="str">
        <f aca="false">IF(B120="","",IFERROR(INDEX(Lookup!$B$2:$B$3000,MATCH(TRIM(B120),Lookup!$A$2:$A$3000,0)),""))</f>
        <v/>
      </c>
      <c r="AO120" s="42" t="str">
        <f aca="false">IF(B120="","",IF(AN120="","No – will be reviewed","Yes"))</f>
        <v/>
      </c>
      <c r="AP120" s="31" t="str">
        <f aca="false">IF(AN120="","",IFERROR(INDEX(Catalog!$B$5:$B$400,MATCH(AN120,Catalog!$A$5:$A$400,0)),""))</f>
        <v/>
      </c>
      <c r="AQ120" s="31" t="str">
        <f aca="false">IF(AN120="","",IFERROR(INDEX(Catalog!$C$5:$C$400,MATCH(AN120,Catalog!$A$5:$A$400,0)),""))</f>
        <v/>
      </c>
      <c r="AR120" s="31" t="str">
        <f aca="false">IF(AN120="","",IFERROR(INDEX(Catalog!$D$5:$D$400,MATCH(AN120,Catalog!$A$5:$A$400,0)),""))</f>
        <v/>
      </c>
      <c r="AS120" s="31" t="str">
        <f aca="false">IF(AN120="","",IFERROR(INDEX(Catalog!$E$5:$E$400,MATCH(AN120,Catalog!$A$5:$A$400,0)),""))</f>
        <v/>
      </c>
      <c r="AT120" s="44" t="str">
        <f aca="false">IF(AN120="","",IFERROR(INDEX(Catalog!$F$5:$F$400,MATCH(AN120,Catalog!$A$5:$A$400,0)),""))</f>
        <v/>
      </c>
      <c r="AU120" s="31" t="str">
        <f aca="false">IF(AND(B120&lt;&gt;"",ISNUMBER(V120)),V120+ROW()/100000,"")</f>
        <v/>
      </c>
    </row>
    <row r="121" customFormat="false" ht="15" hidden="false" customHeight="false" outlineLevel="0" collapsed="false">
      <c r="A121" s="31" t="str">
        <f aca="false">IF(B121="","",ROW()-5)</f>
        <v/>
      </c>
      <c r="B121" s="32"/>
      <c r="C121" s="32"/>
      <c r="D121" s="32"/>
      <c r="E121" s="32"/>
      <c r="F121" s="32"/>
      <c r="G121" s="32"/>
      <c r="H121" s="33"/>
      <c r="I121" s="33"/>
      <c r="J121" s="32"/>
      <c r="K121" s="33"/>
      <c r="L121" s="32"/>
      <c r="M121" s="34"/>
      <c r="N121" s="34"/>
      <c r="O121" s="35" t="str">
        <f aca="false">IF(OR(M121="",N121="",M121=0),"",N121/M121)</f>
        <v/>
      </c>
      <c r="P121" s="36"/>
      <c r="Q121" s="37"/>
      <c r="R121" s="38" t="str">
        <f aca="false">IF(Q121&lt;&gt;"",Q121,IF(AND(P121&lt;&gt;"",M121&lt;&gt;""),P121*12*M121,""))</f>
        <v/>
      </c>
      <c r="S121" s="32"/>
      <c r="T121" s="32"/>
      <c r="U121" s="39"/>
      <c r="V121" s="39"/>
      <c r="W121" s="34"/>
      <c r="X121" s="32"/>
      <c r="Y121" s="34"/>
      <c r="Z121" s="40" t="str">
        <f aca="false">IF(OR(V121="",Y121=""),"",V121-Y121)</f>
        <v/>
      </c>
      <c r="AA121" s="41" t="str">
        <f aca="true">IF(V121="","",V121-TODAY())</f>
        <v/>
      </c>
      <c r="AB121" s="42" t="str">
        <f aca="false">IF(V121="","",IF(AA121&lt;0,"Past due",IF(AA121&lt;=90,"0–90 days",IF(AA121&lt;=180,"91–180 days",IF(AA121&lt;=365,"181–365 days","Over a year")))))</f>
        <v/>
      </c>
      <c r="AC121" s="43"/>
      <c r="AD121" s="32"/>
      <c r="AE121" s="32"/>
      <c r="AF121" s="33"/>
      <c r="AG121" s="32"/>
      <c r="AH121" s="33"/>
      <c r="AI121" s="32"/>
      <c r="AJ121" s="33"/>
      <c r="AK121" s="32"/>
      <c r="AL121" s="32"/>
      <c r="AM121" s="33"/>
      <c r="AN121" s="31" t="str">
        <f aca="false">IF(B121="","",IFERROR(INDEX(Lookup!$B$2:$B$3000,MATCH(TRIM(B121),Lookup!$A$2:$A$3000,0)),""))</f>
        <v/>
      </c>
      <c r="AO121" s="42" t="str">
        <f aca="false">IF(B121="","",IF(AN121="","No – will be reviewed","Yes"))</f>
        <v/>
      </c>
      <c r="AP121" s="31" t="str">
        <f aca="false">IF(AN121="","",IFERROR(INDEX(Catalog!$B$5:$B$400,MATCH(AN121,Catalog!$A$5:$A$400,0)),""))</f>
        <v/>
      </c>
      <c r="AQ121" s="31" t="str">
        <f aca="false">IF(AN121="","",IFERROR(INDEX(Catalog!$C$5:$C$400,MATCH(AN121,Catalog!$A$5:$A$400,0)),""))</f>
        <v/>
      </c>
      <c r="AR121" s="31" t="str">
        <f aca="false">IF(AN121="","",IFERROR(INDEX(Catalog!$D$5:$D$400,MATCH(AN121,Catalog!$A$5:$A$400,0)),""))</f>
        <v/>
      </c>
      <c r="AS121" s="31" t="str">
        <f aca="false">IF(AN121="","",IFERROR(INDEX(Catalog!$E$5:$E$400,MATCH(AN121,Catalog!$A$5:$A$400,0)),""))</f>
        <v/>
      </c>
      <c r="AT121" s="44" t="str">
        <f aca="false">IF(AN121="","",IFERROR(INDEX(Catalog!$F$5:$F$400,MATCH(AN121,Catalog!$A$5:$A$400,0)),""))</f>
        <v/>
      </c>
      <c r="AU121" s="31" t="str">
        <f aca="false">IF(AND(B121&lt;&gt;"",ISNUMBER(V121)),V121+ROW()/100000,"")</f>
        <v/>
      </c>
    </row>
    <row r="122" customFormat="false" ht="15" hidden="false" customHeight="false" outlineLevel="0" collapsed="false">
      <c r="A122" s="31" t="str">
        <f aca="false">IF(B122="","",ROW()-5)</f>
        <v/>
      </c>
      <c r="B122" s="32"/>
      <c r="C122" s="32"/>
      <c r="D122" s="32"/>
      <c r="E122" s="32"/>
      <c r="F122" s="32"/>
      <c r="G122" s="32"/>
      <c r="H122" s="33"/>
      <c r="I122" s="33"/>
      <c r="J122" s="32"/>
      <c r="K122" s="33"/>
      <c r="L122" s="32"/>
      <c r="M122" s="34"/>
      <c r="N122" s="34"/>
      <c r="O122" s="35" t="str">
        <f aca="false">IF(OR(M122="",N122="",M122=0),"",N122/M122)</f>
        <v/>
      </c>
      <c r="P122" s="36"/>
      <c r="Q122" s="37"/>
      <c r="R122" s="38" t="str">
        <f aca="false">IF(Q122&lt;&gt;"",Q122,IF(AND(P122&lt;&gt;"",M122&lt;&gt;""),P122*12*M122,""))</f>
        <v/>
      </c>
      <c r="S122" s="32"/>
      <c r="T122" s="32"/>
      <c r="U122" s="39"/>
      <c r="V122" s="39"/>
      <c r="W122" s="34"/>
      <c r="X122" s="32"/>
      <c r="Y122" s="34"/>
      <c r="Z122" s="40" t="str">
        <f aca="false">IF(OR(V122="",Y122=""),"",V122-Y122)</f>
        <v/>
      </c>
      <c r="AA122" s="41" t="str">
        <f aca="true">IF(V122="","",V122-TODAY())</f>
        <v/>
      </c>
      <c r="AB122" s="42" t="str">
        <f aca="false">IF(V122="","",IF(AA122&lt;0,"Past due",IF(AA122&lt;=90,"0–90 days",IF(AA122&lt;=180,"91–180 days",IF(AA122&lt;=365,"181–365 days","Over a year")))))</f>
        <v/>
      </c>
      <c r="AC122" s="43"/>
      <c r="AD122" s="32"/>
      <c r="AE122" s="32"/>
      <c r="AF122" s="33"/>
      <c r="AG122" s="32"/>
      <c r="AH122" s="33"/>
      <c r="AI122" s="32"/>
      <c r="AJ122" s="33"/>
      <c r="AK122" s="32"/>
      <c r="AL122" s="32"/>
      <c r="AM122" s="33"/>
      <c r="AN122" s="31" t="str">
        <f aca="false">IF(B122="","",IFERROR(INDEX(Lookup!$B$2:$B$3000,MATCH(TRIM(B122),Lookup!$A$2:$A$3000,0)),""))</f>
        <v/>
      </c>
      <c r="AO122" s="42" t="str">
        <f aca="false">IF(B122="","",IF(AN122="","No – will be reviewed","Yes"))</f>
        <v/>
      </c>
      <c r="AP122" s="31" t="str">
        <f aca="false">IF(AN122="","",IFERROR(INDEX(Catalog!$B$5:$B$400,MATCH(AN122,Catalog!$A$5:$A$400,0)),""))</f>
        <v/>
      </c>
      <c r="AQ122" s="31" t="str">
        <f aca="false">IF(AN122="","",IFERROR(INDEX(Catalog!$C$5:$C$400,MATCH(AN122,Catalog!$A$5:$A$400,0)),""))</f>
        <v/>
      </c>
      <c r="AR122" s="31" t="str">
        <f aca="false">IF(AN122="","",IFERROR(INDEX(Catalog!$D$5:$D$400,MATCH(AN122,Catalog!$A$5:$A$400,0)),""))</f>
        <v/>
      </c>
      <c r="AS122" s="31" t="str">
        <f aca="false">IF(AN122="","",IFERROR(INDEX(Catalog!$E$5:$E$400,MATCH(AN122,Catalog!$A$5:$A$400,0)),""))</f>
        <v/>
      </c>
      <c r="AT122" s="44" t="str">
        <f aca="false">IF(AN122="","",IFERROR(INDEX(Catalog!$F$5:$F$400,MATCH(AN122,Catalog!$A$5:$A$400,0)),""))</f>
        <v/>
      </c>
      <c r="AU122" s="31" t="str">
        <f aca="false">IF(AND(B122&lt;&gt;"",ISNUMBER(V122)),V122+ROW()/100000,"")</f>
        <v/>
      </c>
    </row>
    <row r="123" customFormat="false" ht="15" hidden="false" customHeight="false" outlineLevel="0" collapsed="false">
      <c r="A123" s="31" t="str">
        <f aca="false">IF(B123="","",ROW()-5)</f>
        <v/>
      </c>
      <c r="B123" s="32"/>
      <c r="C123" s="32"/>
      <c r="D123" s="32"/>
      <c r="E123" s="32"/>
      <c r="F123" s="32"/>
      <c r="G123" s="32"/>
      <c r="H123" s="33"/>
      <c r="I123" s="33"/>
      <c r="J123" s="32"/>
      <c r="K123" s="33"/>
      <c r="L123" s="32"/>
      <c r="M123" s="34"/>
      <c r="N123" s="34"/>
      <c r="O123" s="35" t="str">
        <f aca="false">IF(OR(M123="",N123="",M123=0),"",N123/M123)</f>
        <v/>
      </c>
      <c r="P123" s="36"/>
      <c r="Q123" s="37"/>
      <c r="R123" s="38" t="str">
        <f aca="false">IF(Q123&lt;&gt;"",Q123,IF(AND(P123&lt;&gt;"",M123&lt;&gt;""),P123*12*M123,""))</f>
        <v/>
      </c>
      <c r="S123" s="32"/>
      <c r="T123" s="32"/>
      <c r="U123" s="39"/>
      <c r="V123" s="39"/>
      <c r="W123" s="34"/>
      <c r="X123" s="32"/>
      <c r="Y123" s="34"/>
      <c r="Z123" s="40" t="str">
        <f aca="false">IF(OR(V123="",Y123=""),"",V123-Y123)</f>
        <v/>
      </c>
      <c r="AA123" s="41" t="str">
        <f aca="true">IF(V123="","",V123-TODAY())</f>
        <v/>
      </c>
      <c r="AB123" s="42" t="str">
        <f aca="false">IF(V123="","",IF(AA123&lt;0,"Past due",IF(AA123&lt;=90,"0–90 days",IF(AA123&lt;=180,"91–180 days",IF(AA123&lt;=365,"181–365 days","Over a year")))))</f>
        <v/>
      </c>
      <c r="AC123" s="43"/>
      <c r="AD123" s="32"/>
      <c r="AE123" s="32"/>
      <c r="AF123" s="33"/>
      <c r="AG123" s="32"/>
      <c r="AH123" s="33"/>
      <c r="AI123" s="32"/>
      <c r="AJ123" s="33"/>
      <c r="AK123" s="32"/>
      <c r="AL123" s="32"/>
      <c r="AM123" s="33"/>
      <c r="AN123" s="31" t="str">
        <f aca="false">IF(B123="","",IFERROR(INDEX(Lookup!$B$2:$B$3000,MATCH(TRIM(B123),Lookup!$A$2:$A$3000,0)),""))</f>
        <v/>
      </c>
      <c r="AO123" s="42" t="str">
        <f aca="false">IF(B123="","",IF(AN123="","No – will be reviewed","Yes"))</f>
        <v/>
      </c>
      <c r="AP123" s="31" t="str">
        <f aca="false">IF(AN123="","",IFERROR(INDEX(Catalog!$B$5:$B$400,MATCH(AN123,Catalog!$A$5:$A$400,0)),""))</f>
        <v/>
      </c>
      <c r="AQ123" s="31" t="str">
        <f aca="false">IF(AN123="","",IFERROR(INDEX(Catalog!$C$5:$C$400,MATCH(AN123,Catalog!$A$5:$A$400,0)),""))</f>
        <v/>
      </c>
      <c r="AR123" s="31" t="str">
        <f aca="false">IF(AN123="","",IFERROR(INDEX(Catalog!$D$5:$D$400,MATCH(AN123,Catalog!$A$5:$A$400,0)),""))</f>
        <v/>
      </c>
      <c r="AS123" s="31" t="str">
        <f aca="false">IF(AN123="","",IFERROR(INDEX(Catalog!$E$5:$E$400,MATCH(AN123,Catalog!$A$5:$A$400,0)),""))</f>
        <v/>
      </c>
      <c r="AT123" s="44" t="str">
        <f aca="false">IF(AN123="","",IFERROR(INDEX(Catalog!$F$5:$F$400,MATCH(AN123,Catalog!$A$5:$A$400,0)),""))</f>
        <v/>
      </c>
      <c r="AU123" s="31" t="str">
        <f aca="false">IF(AND(B123&lt;&gt;"",ISNUMBER(V123)),V123+ROW()/100000,"")</f>
        <v/>
      </c>
    </row>
    <row r="124" customFormat="false" ht="15" hidden="false" customHeight="false" outlineLevel="0" collapsed="false">
      <c r="A124" s="31" t="str">
        <f aca="false">IF(B124="","",ROW()-5)</f>
        <v/>
      </c>
      <c r="B124" s="32"/>
      <c r="C124" s="32"/>
      <c r="D124" s="32"/>
      <c r="E124" s="32"/>
      <c r="F124" s="32"/>
      <c r="G124" s="32"/>
      <c r="H124" s="33"/>
      <c r="I124" s="33"/>
      <c r="J124" s="32"/>
      <c r="K124" s="33"/>
      <c r="L124" s="32"/>
      <c r="M124" s="34"/>
      <c r="N124" s="34"/>
      <c r="O124" s="35" t="str">
        <f aca="false">IF(OR(M124="",N124="",M124=0),"",N124/M124)</f>
        <v/>
      </c>
      <c r="P124" s="36"/>
      <c r="Q124" s="37"/>
      <c r="R124" s="38" t="str">
        <f aca="false">IF(Q124&lt;&gt;"",Q124,IF(AND(P124&lt;&gt;"",M124&lt;&gt;""),P124*12*M124,""))</f>
        <v/>
      </c>
      <c r="S124" s="32"/>
      <c r="T124" s="32"/>
      <c r="U124" s="39"/>
      <c r="V124" s="39"/>
      <c r="W124" s="34"/>
      <c r="X124" s="32"/>
      <c r="Y124" s="34"/>
      <c r="Z124" s="40" t="str">
        <f aca="false">IF(OR(V124="",Y124=""),"",V124-Y124)</f>
        <v/>
      </c>
      <c r="AA124" s="41" t="str">
        <f aca="true">IF(V124="","",V124-TODAY())</f>
        <v/>
      </c>
      <c r="AB124" s="42" t="str">
        <f aca="false">IF(V124="","",IF(AA124&lt;0,"Past due",IF(AA124&lt;=90,"0–90 days",IF(AA124&lt;=180,"91–180 days",IF(AA124&lt;=365,"181–365 days","Over a year")))))</f>
        <v/>
      </c>
      <c r="AC124" s="43"/>
      <c r="AD124" s="32"/>
      <c r="AE124" s="32"/>
      <c r="AF124" s="33"/>
      <c r="AG124" s="32"/>
      <c r="AH124" s="33"/>
      <c r="AI124" s="32"/>
      <c r="AJ124" s="33"/>
      <c r="AK124" s="32"/>
      <c r="AL124" s="32"/>
      <c r="AM124" s="33"/>
      <c r="AN124" s="31" t="str">
        <f aca="false">IF(B124="","",IFERROR(INDEX(Lookup!$B$2:$B$3000,MATCH(TRIM(B124),Lookup!$A$2:$A$3000,0)),""))</f>
        <v/>
      </c>
      <c r="AO124" s="42" t="str">
        <f aca="false">IF(B124="","",IF(AN124="","No – will be reviewed","Yes"))</f>
        <v/>
      </c>
      <c r="AP124" s="31" t="str">
        <f aca="false">IF(AN124="","",IFERROR(INDEX(Catalog!$B$5:$B$400,MATCH(AN124,Catalog!$A$5:$A$400,0)),""))</f>
        <v/>
      </c>
      <c r="AQ124" s="31" t="str">
        <f aca="false">IF(AN124="","",IFERROR(INDEX(Catalog!$C$5:$C$400,MATCH(AN124,Catalog!$A$5:$A$400,0)),""))</f>
        <v/>
      </c>
      <c r="AR124" s="31" t="str">
        <f aca="false">IF(AN124="","",IFERROR(INDEX(Catalog!$D$5:$D$400,MATCH(AN124,Catalog!$A$5:$A$400,0)),""))</f>
        <v/>
      </c>
      <c r="AS124" s="31" t="str">
        <f aca="false">IF(AN124="","",IFERROR(INDEX(Catalog!$E$5:$E$400,MATCH(AN124,Catalog!$A$5:$A$400,0)),""))</f>
        <v/>
      </c>
      <c r="AT124" s="44" t="str">
        <f aca="false">IF(AN124="","",IFERROR(INDEX(Catalog!$F$5:$F$400,MATCH(AN124,Catalog!$A$5:$A$400,0)),""))</f>
        <v/>
      </c>
      <c r="AU124" s="31" t="str">
        <f aca="false">IF(AND(B124&lt;&gt;"",ISNUMBER(V124)),V124+ROW()/100000,"")</f>
        <v/>
      </c>
    </row>
    <row r="125" customFormat="false" ht="15" hidden="false" customHeight="false" outlineLevel="0" collapsed="false">
      <c r="A125" s="31" t="str">
        <f aca="false">IF(B125="","",ROW()-5)</f>
        <v/>
      </c>
      <c r="B125" s="32"/>
      <c r="C125" s="32"/>
      <c r="D125" s="32"/>
      <c r="E125" s="32"/>
      <c r="F125" s="32"/>
      <c r="G125" s="32"/>
      <c r="H125" s="33"/>
      <c r="I125" s="33"/>
      <c r="J125" s="32"/>
      <c r="K125" s="33"/>
      <c r="L125" s="32"/>
      <c r="M125" s="34"/>
      <c r="N125" s="34"/>
      <c r="O125" s="35" t="str">
        <f aca="false">IF(OR(M125="",N125="",M125=0),"",N125/M125)</f>
        <v/>
      </c>
      <c r="P125" s="36"/>
      <c r="Q125" s="37"/>
      <c r="R125" s="38" t="str">
        <f aca="false">IF(Q125&lt;&gt;"",Q125,IF(AND(P125&lt;&gt;"",M125&lt;&gt;""),P125*12*M125,""))</f>
        <v/>
      </c>
      <c r="S125" s="32"/>
      <c r="T125" s="32"/>
      <c r="U125" s="39"/>
      <c r="V125" s="39"/>
      <c r="W125" s="34"/>
      <c r="X125" s="32"/>
      <c r="Y125" s="34"/>
      <c r="Z125" s="40" t="str">
        <f aca="false">IF(OR(V125="",Y125=""),"",V125-Y125)</f>
        <v/>
      </c>
      <c r="AA125" s="41" t="str">
        <f aca="true">IF(V125="","",V125-TODAY())</f>
        <v/>
      </c>
      <c r="AB125" s="42" t="str">
        <f aca="false">IF(V125="","",IF(AA125&lt;0,"Past due",IF(AA125&lt;=90,"0–90 days",IF(AA125&lt;=180,"91–180 days",IF(AA125&lt;=365,"181–365 days","Over a year")))))</f>
        <v/>
      </c>
      <c r="AC125" s="43"/>
      <c r="AD125" s="32"/>
      <c r="AE125" s="32"/>
      <c r="AF125" s="33"/>
      <c r="AG125" s="32"/>
      <c r="AH125" s="33"/>
      <c r="AI125" s="32"/>
      <c r="AJ125" s="33"/>
      <c r="AK125" s="32"/>
      <c r="AL125" s="32"/>
      <c r="AM125" s="33"/>
      <c r="AN125" s="31" t="str">
        <f aca="false">IF(B125="","",IFERROR(INDEX(Lookup!$B$2:$B$3000,MATCH(TRIM(B125),Lookup!$A$2:$A$3000,0)),""))</f>
        <v/>
      </c>
      <c r="AO125" s="42" t="str">
        <f aca="false">IF(B125="","",IF(AN125="","No – will be reviewed","Yes"))</f>
        <v/>
      </c>
      <c r="AP125" s="31" t="str">
        <f aca="false">IF(AN125="","",IFERROR(INDEX(Catalog!$B$5:$B$400,MATCH(AN125,Catalog!$A$5:$A$400,0)),""))</f>
        <v/>
      </c>
      <c r="AQ125" s="31" t="str">
        <f aca="false">IF(AN125="","",IFERROR(INDEX(Catalog!$C$5:$C$400,MATCH(AN125,Catalog!$A$5:$A$400,0)),""))</f>
        <v/>
      </c>
      <c r="AR125" s="31" t="str">
        <f aca="false">IF(AN125="","",IFERROR(INDEX(Catalog!$D$5:$D$400,MATCH(AN125,Catalog!$A$5:$A$400,0)),""))</f>
        <v/>
      </c>
      <c r="AS125" s="31" t="str">
        <f aca="false">IF(AN125="","",IFERROR(INDEX(Catalog!$E$5:$E$400,MATCH(AN125,Catalog!$A$5:$A$400,0)),""))</f>
        <v/>
      </c>
      <c r="AT125" s="44" t="str">
        <f aca="false">IF(AN125="","",IFERROR(INDEX(Catalog!$F$5:$F$400,MATCH(AN125,Catalog!$A$5:$A$400,0)),""))</f>
        <v/>
      </c>
      <c r="AU125" s="31" t="str">
        <f aca="false">IF(AND(B125&lt;&gt;"",ISNUMBER(V125)),V125+ROW()/100000,"")</f>
        <v/>
      </c>
    </row>
    <row r="126" customFormat="false" ht="15" hidden="false" customHeight="false" outlineLevel="0" collapsed="false">
      <c r="A126" s="31" t="str">
        <f aca="false">IF(B126="","",ROW()-5)</f>
        <v/>
      </c>
      <c r="B126" s="32"/>
      <c r="C126" s="32"/>
      <c r="D126" s="32"/>
      <c r="E126" s="32"/>
      <c r="F126" s="32"/>
      <c r="G126" s="32"/>
      <c r="H126" s="33"/>
      <c r="I126" s="33"/>
      <c r="J126" s="32"/>
      <c r="K126" s="33"/>
      <c r="L126" s="32"/>
      <c r="M126" s="34"/>
      <c r="N126" s="34"/>
      <c r="O126" s="35" t="str">
        <f aca="false">IF(OR(M126="",N126="",M126=0),"",N126/M126)</f>
        <v/>
      </c>
      <c r="P126" s="36"/>
      <c r="Q126" s="37"/>
      <c r="R126" s="38" t="str">
        <f aca="false">IF(Q126&lt;&gt;"",Q126,IF(AND(P126&lt;&gt;"",M126&lt;&gt;""),P126*12*M126,""))</f>
        <v/>
      </c>
      <c r="S126" s="32"/>
      <c r="T126" s="32"/>
      <c r="U126" s="39"/>
      <c r="V126" s="39"/>
      <c r="W126" s="34"/>
      <c r="X126" s="32"/>
      <c r="Y126" s="34"/>
      <c r="Z126" s="40" t="str">
        <f aca="false">IF(OR(V126="",Y126=""),"",V126-Y126)</f>
        <v/>
      </c>
      <c r="AA126" s="41" t="str">
        <f aca="true">IF(V126="","",V126-TODAY())</f>
        <v/>
      </c>
      <c r="AB126" s="42" t="str">
        <f aca="false">IF(V126="","",IF(AA126&lt;0,"Past due",IF(AA126&lt;=90,"0–90 days",IF(AA126&lt;=180,"91–180 days",IF(AA126&lt;=365,"181–365 days","Over a year")))))</f>
        <v/>
      </c>
      <c r="AC126" s="43"/>
      <c r="AD126" s="32"/>
      <c r="AE126" s="32"/>
      <c r="AF126" s="33"/>
      <c r="AG126" s="32"/>
      <c r="AH126" s="33"/>
      <c r="AI126" s="32"/>
      <c r="AJ126" s="33"/>
      <c r="AK126" s="32"/>
      <c r="AL126" s="32"/>
      <c r="AM126" s="33"/>
      <c r="AN126" s="31" t="str">
        <f aca="false">IF(B126="","",IFERROR(INDEX(Lookup!$B$2:$B$3000,MATCH(TRIM(B126),Lookup!$A$2:$A$3000,0)),""))</f>
        <v/>
      </c>
      <c r="AO126" s="42" t="str">
        <f aca="false">IF(B126="","",IF(AN126="","No – will be reviewed","Yes"))</f>
        <v/>
      </c>
      <c r="AP126" s="31" t="str">
        <f aca="false">IF(AN126="","",IFERROR(INDEX(Catalog!$B$5:$B$400,MATCH(AN126,Catalog!$A$5:$A$400,0)),""))</f>
        <v/>
      </c>
      <c r="AQ126" s="31" t="str">
        <f aca="false">IF(AN126="","",IFERROR(INDEX(Catalog!$C$5:$C$400,MATCH(AN126,Catalog!$A$5:$A$400,0)),""))</f>
        <v/>
      </c>
      <c r="AR126" s="31" t="str">
        <f aca="false">IF(AN126="","",IFERROR(INDEX(Catalog!$D$5:$D$400,MATCH(AN126,Catalog!$A$5:$A$400,0)),""))</f>
        <v/>
      </c>
      <c r="AS126" s="31" t="str">
        <f aca="false">IF(AN126="","",IFERROR(INDEX(Catalog!$E$5:$E$400,MATCH(AN126,Catalog!$A$5:$A$400,0)),""))</f>
        <v/>
      </c>
      <c r="AT126" s="44" t="str">
        <f aca="false">IF(AN126="","",IFERROR(INDEX(Catalog!$F$5:$F$400,MATCH(AN126,Catalog!$A$5:$A$400,0)),""))</f>
        <v/>
      </c>
      <c r="AU126" s="31" t="str">
        <f aca="false">IF(AND(B126&lt;&gt;"",ISNUMBER(V126)),V126+ROW()/100000,"")</f>
        <v/>
      </c>
    </row>
    <row r="127" customFormat="false" ht="15" hidden="false" customHeight="false" outlineLevel="0" collapsed="false">
      <c r="A127" s="31" t="str">
        <f aca="false">IF(B127="","",ROW()-5)</f>
        <v/>
      </c>
      <c r="B127" s="32"/>
      <c r="C127" s="32"/>
      <c r="D127" s="32"/>
      <c r="E127" s="32"/>
      <c r="F127" s="32"/>
      <c r="G127" s="32"/>
      <c r="H127" s="33"/>
      <c r="I127" s="33"/>
      <c r="J127" s="32"/>
      <c r="K127" s="33"/>
      <c r="L127" s="32"/>
      <c r="M127" s="34"/>
      <c r="N127" s="34"/>
      <c r="O127" s="35" t="str">
        <f aca="false">IF(OR(M127="",N127="",M127=0),"",N127/M127)</f>
        <v/>
      </c>
      <c r="P127" s="36"/>
      <c r="Q127" s="37"/>
      <c r="R127" s="38" t="str">
        <f aca="false">IF(Q127&lt;&gt;"",Q127,IF(AND(P127&lt;&gt;"",M127&lt;&gt;""),P127*12*M127,""))</f>
        <v/>
      </c>
      <c r="S127" s="32"/>
      <c r="T127" s="32"/>
      <c r="U127" s="39"/>
      <c r="V127" s="39"/>
      <c r="W127" s="34"/>
      <c r="X127" s="32"/>
      <c r="Y127" s="34"/>
      <c r="Z127" s="40" t="str">
        <f aca="false">IF(OR(V127="",Y127=""),"",V127-Y127)</f>
        <v/>
      </c>
      <c r="AA127" s="41" t="str">
        <f aca="true">IF(V127="","",V127-TODAY())</f>
        <v/>
      </c>
      <c r="AB127" s="42" t="str">
        <f aca="false">IF(V127="","",IF(AA127&lt;0,"Past due",IF(AA127&lt;=90,"0–90 days",IF(AA127&lt;=180,"91–180 days",IF(AA127&lt;=365,"181–365 days","Over a year")))))</f>
        <v/>
      </c>
      <c r="AC127" s="43"/>
      <c r="AD127" s="32"/>
      <c r="AE127" s="32"/>
      <c r="AF127" s="33"/>
      <c r="AG127" s="32"/>
      <c r="AH127" s="33"/>
      <c r="AI127" s="32"/>
      <c r="AJ127" s="33"/>
      <c r="AK127" s="32"/>
      <c r="AL127" s="32"/>
      <c r="AM127" s="33"/>
      <c r="AN127" s="31" t="str">
        <f aca="false">IF(B127="","",IFERROR(INDEX(Lookup!$B$2:$B$3000,MATCH(TRIM(B127),Lookup!$A$2:$A$3000,0)),""))</f>
        <v/>
      </c>
      <c r="AO127" s="42" t="str">
        <f aca="false">IF(B127="","",IF(AN127="","No – will be reviewed","Yes"))</f>
        <v/>
      </c>
      <c r="AP127" s="31" t="str">
        <f aca="false">IF(AN127="","",IFERROR(INDEX(Catalog!$B$5:$B$400,MATCH(AN127,Catalog!$A$5:$A$400,0)),""))</f>
        <v/>
      </c>
      <c r="AQ127" s="31" t="str">
        <f aca="false">IF(AN127="","",IFERROR(INDEX(Catalog!$C$5:$C$400,MATCH(AN127,Catalog!$A$5:$A$400,0)),""))</f>
        <v/>
      </c>
      <c r="AR127" s="31" t="str">
        <f aca="false">IF(AN127="","",IFERROR(INDEX(Catalog!$D$5:$D$400,MATCH(AN127,Catalog!$A$5:$A$400,0)),""))</f>
        <v/>
      </c>
      <c r="AS127" s="31" t="str">
        <f aca="false">IF(AN127="","",IFERROR(INDEX(Catalog!$E$5:$E$400,MATCH(AN127,Catalog!$A$5:$A$400,0)),""))</f>
        <v/>
      </c>
      <c r="AT127" s="44" t="str">
        <f aca="false">IF(AN127="","",IFERROR(INDEX(Catalog!$F$5:$F$400,MATCH(AN127,Catalog!$A$5:$A$400,0)),""))</f>
        <v/>
      </c>
      <c r="AU127" s="31" t="str">
        <f aca="false">IF(AND(B127&lt;&gt;"",ISNUMBER(V127)),V127+ROW()/100000,"")</f>
        <v/>
      </c>
    </row>
    <row r="128" customFormat="false" ht="15" hidden="false" customHeight="false" outlineLevel="0" collapsed="false">
      <c r="A128" s="31" t="str">
        <f aca="false">IF(B128="","",ROW()-5)</f>
        <v/>
      </c>
      <c r="B128" s="32"/>
      <c r="C128" s="32"/>
      <c r="D128" s="32"/>
      <c r="E128" s="32"/>
      <c r="F128" s="32"/>
      <c r="G128" s="32"/>
      <c r="H128" s="33"/>
      <c r="I128" s="33"/>
      <c r="J128" s="32"/>
      <c r="K128" s="33"/>
      <c r="L128" s="32"/>
      <c r="M128" s="34"/>
      <c r="N128" s="34"/>
      <c r="O128" s="35" t="str">
        <f aca="false">IF(OR(M128="",N128="",M128=0),"",N128/M128)</f>
        <v/>
      </c>
      <c r="P128" s="36"/>
      <c r="Q128" s="37"/>
      <c r="R128" s="38" t="str">
        <f aca="false">IF(Q128&lt;&gt;"",Q128,IF(AND(P128&lt;&gt;"",M128&lt;&gt;""),P128*12*M128,""))</f>
        <v/>
      </c>
      <c r="S128" s="32"/>
      <c r="T128" s="32"/>
      <c r="U128" s="39"/>
      <c r="V128" s="39"/>
      <c r="W128" s="34"/>
      <c r="X128" s="32"/>
      <c r="Y128" s="34"/>
      <c r="Z128" s="40" t="str">
        <f aca="false">IF(OR(V128="",Y128=""),"",V128-Y128)</f>
        <v/>
      </c>
      <c r="AA128" s="41" t="str">
        <f aca="true">IF(V128="","",V128-TODAY())</f>
        <v/>
      </c>
      <c r="AB128" s="42" t="str">
        <f aca="false">IF(V128="","",IF(AA128&lt;0,"Past due",IF(AA128&lt;=90,"0–90 days",IF(AA128&lt;=180,"91–180 days",IF(AA128&lt;=365,"181–365 days","Over a year")))))</f>
        <v/>
      </c>
      <c r="AC128" s="43"/>
      <c r="AD128" s="32"/>
      <c r="AE128" s="32"/>
      <c r="AF128" s="33"/>
      <c r="AG128" s="32"/>
      <c r="AH128" s="33"/>
      <c r="AI128" s="32"/>
      <c r="AJ128" s="33"/>
      <c r="AK128" s="32"/>
      <c r="AL128" s="32"/>
      <c r="AM128" s="33"/>
      <c r="AN128" s="31" t="str">
        <f aca="false">IF(B128="","",IFERROR(INDEX(Lookup!$B$2:$B$3000,MATCH(TRIM(B128),Lookup!$A$2:$A$3000,0)),""))</f>
        <v/>
      </c>
      <c r="AO128" s="42" t="str">
        <f aca="false">IF(B128="","",IF(AN128="","No – will be reviewed","Yes"))</f>
        <v/>
      </c>
      <c r="AP128" s="31" t="str">
        <f aca="false">IF(AN128="","",IFERROR(INDEX(Catalog!$B$5:$B$400,MATCH(AN128,Catalog!$A$5:$A$400,0)),""))</f>
        <v/>
      </c>
      <c r="AQ128" s="31" t="str">
        <f aca="false">IF(AN128="","",IFERROR(INDEX(Catalog!$C$5:$C$400,MATCH(AN128,Catalog!$A$5:$A$400,0)),""))</f>
        <v/>
      </c>
      <c r="AR128" s="31" t="str">
        <f aca="false">IF(AN128="","",IFERROR(INDEX(Catalog!$D$5:$D$400,MATCH(AN128,Catalog!$A$5:$A$400,0)),""))</f>
        <v/>
      </c>
      <c r="AS128" s="31" t="str">
        <f aca="false">IF(AN128="","",IFERROR(INDEX(Catalog!$E$5:$E$400,MATCH(AN128,Catalog!$A$5:$A$400,0)),""))</f>
        <v/>
      </c>
      <c r="AT128" s="44" t="str">
        <f aca="false">IF(AN128="","",IFERROR(INDEX(Catalog!$F$5:$F$400,MATCH(AN128,Catalog!$A$5:$A$400,0)),""))</f>
        <v/>
      </c>
      <c r="AU128" s="31" t="str">
        <f aca="false">IF(AND(B128&lt;&gt;"",ISNUMBER(V128)),V128+ROW()/100000,"")</f>
        <v/>
      </c>
    </row>
    <row r="129" customFormat="false" ht="15" hidden="false" customHeight="false" outlineLevel="0" collapsed="false">
      <c r="A129" s="31" t="str">
        <f aca="false">IF(B129="","",ROW()-5)</f>
        <v/>
      </c>
      <c r="B129" s="32"/>
      <c r="C129" s="32"/>
      <c r="D129" s="32"/>
      <c r="E129" s="32"/>
      <c r="F129" s="32"/>
      <c r="G129" s="32"/>
      <c r="H129" s="33"/>
      <c r="I129" s="33"/>
      <c r="J129" s="32"/>
      <c r="K129" s="33"/>
      <c r="L129" s="32"/>
      <c r="M129" s="34"/>
      <c r="N129" s="34"/>
      <c r="O129" s="35" t="str">
        <f aca="false">IF(OR(M129="",N129="",M129=0),"",N129/M129)</f>
        <v/>
      </c>
      <c r="P129" s="36"/>
      <c r="Q129" s="37"/>
      <c r="R129" s="38" t="str">
        <f aca="false">IF(Q129&lt;&gt;"",Q129,IF(AND(P129&lt;&gt;"",M129&lt;&gt;""),P129*12*M129,""))</f>
        <v/>
      </c>
      <c r="S129" s="32"/>
      <c r="T129" s="32"/>
      <c r="U129" s="39"/>
      <c r="V129" s="39"/>
      <c r="W129" s="34"/>
      <c r="X129" s="32"/>
      <c r="Y129" s="34"/>
      <c r="Z129" s="40" t="str">
        <f aca="false">IF(OR(V129="",Y129=""),"",V129-Y129)</f>
        <v/>
      </c>
      <c r="AA129" s="41" t="str">
        <f aca="true">IF(V129="","",V129-TODAY())</f>
        <v/>
      </c>
      <c r="AB129" s="42" t="str">
        <f aca="false">IF(V129="","",IF(AA129&lt;0,"Past due",IF(AA129&lt;=90,"0–90 days",IF(AA129&lt;=180,"91–180 days",IF(AA129&lt;=365,"181–365 days","Over a year")))))</f>
        <v/>
      </c>
      <c r="AC129" s="43"/>
      <c r="AD129" s="32"/>
      <c r="AE129" s="32"/>
      <c r="AF129" s="33"/>
      <c r="AG129" s="32"/>
      <c r="AH129" s="33"/>
      <c r="AI129" s="32"/>
      <c r="AJ129" s="33"/>
      <c r="AK129" s="32"/>
      <c r="AL129" s="32"/>
      <c r="AM129" s="33"/>
      <c r="AN129" s="31" t="str">
        <f aca="false">IF(B129="","",IFERROR(INDEX(Lookup!$B$2:$B$3000,MATCH(TRIM(B129),Lookup!$A$2:$A$3000,0)),""))</f>
        <v/>
      </c>
      <c r="AO129" s="42" t="str">
        <f aca="false">IF(B129="","",IF(AN129="","No – will be reviewed","Yes"))</f>
        <v/>
      </c>
      <c r="AP129" s="31" t="str">
        <f aca="false">IF(AN129="","",IFERROR(INDEX(Catalog!$B$5:$B$400,MATCH(AN129,Catalog!$A$5:$A$400,0)),""))</f>
        <v/>
      </c>
      <c r="AQ129" s="31" t="str">
        <f aca="false">IF(AN129="","",IFERROR(INDEX(Catalog!$C$5:$C$400,MATCH(AN129,Catalog!$A$5:$A$400,0)),""))</f>
        <v/>
      </c>
      <c r="AR129" s="31" t="str">
        <f aca="false">IF(AN129="","",IFERROR(INDEX(Catalog!$D$5:$D$400,MATCH(AN129,Catalog!$A$5:$A$400,0)),""))</f>
        <v/>
      </c>
      <c r="AS129" s="31" t="str">
        <f aca="false">IF(AN129="","",IFERROR(INDEX(Catalog!$E$5:$E$400,MATCH(AN129,Catalog!$A$5:$A$400,0)),""))</f>
        <v/>
      </c>
      <c r="AT129" s="44" t="str">
        <f aca="false">IF(AN129="","",IFERROR(INDEX(Catalog!$F$5:$F$400,MATCH(AN129,Catalog!$A$5:$A$400,0)),""))</f>
        <v/>
      </c>
      <c r="AU129" s="31" t="str">
        <f aca="false">IF(AND(B129&lt;&gt;"",ISNUMBER(V129)),V129+ROW()/100000,"")</f>
        <v/>
      </c>
    </row>
    <row r="130" customFormat="false" ht="15" hidden="false" customHeight="false" outlineLevel="0" collapsed="false">
      <c r="A130" s="31" t="str">
        <f aca="false">IF(B130="","",ROW()-5)</f>
        <v/>
      </c>
      <c r="B130" s="32"/>
      <c r="C130" s="32"/>
      <c r="D130" s="32"/>
      <c r="E130" s="32"/>
      <c r="F130" s="32"/>
      <c r="G130" s="32"/>
      <c r="H130" s="33"/>
      <c r="I130" s="33"/>
      <c r="J130" s="32"/>
      <c r="K130" s="33"/>
      <c r="L130" s="32"/>
      <c r="M130" s="34"/>
      <c r="N130" s="34"/>
      <c r="O130" s="35" t="str">
        <f aca="false">IF(OR(M130="",N130="",M130=0),"",N130/M130)</f>
        <v/>
      </c>
      <c r="P130" s="36"/>
      <c r="Q130" s="37"/>
      <c r="R130" s="38" t="str">
        <f aca="false">IF(Q130&lt;&gt;"",Q130,IF(AND(P130&lt;&gt;"",M130&lt;&gt;""),P130*12*M130,""))</f>
        <v/>
      </c>
      <c r="S130" s="32"/>
      <c r="T130" s="32"/>
      <c r="U130" s="39"/>
      <c r="V130" s="39"/>
      <c r="W130" s="34"/>
      <c r="X130" s="32"/>
      <c r="Y130" s="34"/>
      <c r="Z130" s="40" t="str">
        <f aca="false">IF(OR(V130="",Y130=""),"",V130-Y130)</f>
        <v/>
      </c>
      <c r="AA130" s="41" t="str">
        <f aca="true">IF(V130="","",V130-TODAY())</f>
        <v/>
      </c>
      <c r="AB130" s="42" t="str">
        <f aca="false">IF(V130="","",IF(AA130&lt;0,"Past due",IF(AA130&lt;=90,"0–90 days",IF(AA130&lt;=180,"91–180 days",IF(AA130&lt;=365,"181–365 days","Over a year")))))</f>
        <v/>
      </c>
      <c r="AC130" s="43"/>
      <c r="AD130" s="32"/>
      <c r="AE130" s="32"/>
      <c r="AF130" s="33"/>
      <c r="AG130" s="32"/>
      <c r="AH130" s="33"/>
      <c r="AI130" s="32"/>
      <c r="AJ130" s="33"/>
      <c r="AK130" s="32"/>
      <c r="AL130" s="32"/>
      <c r="AM130" s="33"/>
      <c r="AN130" s="31" t="str">
        <f aca="false">IF(B130="","",IFERROR(INDEX(Lookup!$B$2:$B$3000,MATCH(TRIM(B130),Lookup!$A$2:$A$3000,0)),""))</f>
        <v/>
      </c>
      <c r="AO130" s="42" t="str">
        <f aca="false">IF(B130="","",IF(AN130="","No – will be reviewed","Yes"))</f>
        <v/>
      </c>
      <c r="AP130" s="31" t="str">
        <f aca="false">IF(AN130="","",IFERROR(INDEX(Catalog!$B$5:$B$400,MATCH(AN130,Catalog!$A$5:$A$400,0)),""))</f>
        <v/>
      </c>
      <c r="AQ130" s="31" t="str">
        <f aca="false">IF(AN130="","",IFERROR(INDEX(Catalog!$C$5:$C$400,MATCH(AN130,Catalog!$A$5:$A$400,0)),""))</f>
        <v/>
      </c>
      <c r="AR130" s="31" t="str">
        <f aca="false">IF(AN130="","",IFERROR(INDEX(Catalog!$D$5:$D$400,MATCH(AN130,Catalog!$A$5:$A$400,0)),""))</f>
        <v/>
      </c>
      <c r="AS130" s="31" t="str">
        <f aca="false">IF(AN130="","",IFERROR(INDEX(Catalog!$E$5:$E$400,MATCH(AN130,Catalog!$A$5:$A$400,0)),""))</f>
        <v/>
      </c>
      <c r="AT130" s="44" t="str">
        <f aca="false">IF(AN130="","",IFERROR(INDEX(Catalog!$F$5:$F$400,MATCH(AN130,Catalog!$A$5:$A$400,0)),""))</f>
        <v/>
      </c>
      <c r="AU130" s="31" t="str">
        <f aca="false">IF(AND(B130&lt;&gt;"",ISNUMBER(V130)),V130+ROW()/100000,"")</f>
        <v/>
      </c>
    </row>
    <row r="131" customFormat="false" ht="15" hidden="false" customHeight="false" outlineLevel="0" collapsed="false">
      <c r="A131" s="31" t="str">
        <f aca="false">IF(B131="","",ROW()-5)</f>
        <v/>
      </c>
      <c r="B131" s="32"/>
      <c r="C131" s="32"/>
      <c r="D131" s="32"/>
      <c r="E131" s="32"/>
      <c r="F131" s="32"/>
      <c r="G131" s="32"/>
      <c r="H131" s="33"/>
      <c r="I131" s="33"/>
      <c r="J131" s="32"/>
      <c r="K131" s="33"/>
      <c r="L131" s="32"/>
      <c r="M131" s="34"/>
      <c r="N131" s="34"/>
      <c r="O131" s="35" t="str">
        <f aca="false">IF(OR(M131="",N131="",M131=0),"",N131/M131)</f>
        <v/>
      </c>
      <c r="P131" s="36"/>
      <c r="Q131" s="37"/>
      <c r="R131" s="38" t="str">
        <f aca="false">IF(Q131&lt;&gt;"",Q131,IF(AND(P131&lt;&gt;"",M131&lt;&gt;""),P131*12*M131,""))</f>
        <v/>
      </c>
      <c r="S131" s="32"/>
      <c r="T131" s="32"/>
      <c r="U131" s="39"/>
      <c r="V131" s="39"/>
      <c r="W131" s="34"/>
      <c r="X131" s="32"/>
      <c r="Y131" s="34"/>
      <c r="Z131" s="40" t="str">
        <f aca="false">IF(OR(V131="",Y131=""),"",V131-Y131)</f>
        <v/>
      </c>
      <c r="AA131" s="41" t="str">
        <f aca="true">IF(V131="","",V131-TODAY())</f>
        <v/>
      </c>
      <c r="AB131" s="42" t="str">
        <f aca="false">IF(V131="","",IF(AA131&lt;0,"Past due",IF(AA131&lt;=90,"0–90 days",IF(AA131&lt;=180,"91–180 days",IF(AA131&lt;=365,"181–365 days","Over a year")))))</f>
        <v/>
      </c>
      <c r="AC131" s="43"/>
      <c r="AD131" s="32"/>
      <c r="AE131" s="32"/>
      <c r="AF131" s="33"/>
      <c r="AG131" s="32"/>
      <c r="AH131" s="33"/>
      <c r="AI131" s="32"/>
      <c r="AJ131" s="33"/>
      <c r="AK131" s="32"/>
      <c r="AL131" s="32"/>
      <c r="AM131" s="33"/>
      <c r="AN131" s="31" t="str">
        <f aca="false">IF(B131="","",IFERROR(INDEX(Lookup!$B$2:$B$3000,MATCH(TRIM(B131),Lookup!$A$2:$A$3000,0)),""))</f>
        <v/>
      </c>
      <c r="AO131" s="42" t="str">
        <f aca="false">IF(B131="","",IF(AN131="","No – will be reviewed","Yes"))</f>
        <v/>
      </c>
      <c r="AP131" s="31" t="str">
        <f aca="false">IF(AN131="","",IFERROR(INDEX(Catalog!$B$5:$B$400,MATCH(AN131,Catalog!$A$5:$A$400,0)),""))</f>
        <v/>
      </c>
      <c r="AQ131" s="31" t="str">
        <f aca="false">IF(AN131="","",IFERROR(INDEX(Catalog!$C$5:$C$400,MATCH(AN131,Catalog!$A$5:$A$400,0)),""))</f>
        <v/>
      </c>
      <c r="AR131" s="31" t="str">
        <f aca="false">IF(AN131="","",IFERROR(INDEX(Catalog!$D$5:$D$400,MATCH(AN131,Catalog!$A$5:$A$400,0)),""))</f>
        <v/>
      </c>
      <c r="AS131" s="31" t="str">
        <f aca="false">IF(AN131="","",IFERROR(INDEX(Catalog!$E$5:$E$400,MATCH(AN131,Catalog!$A$5:$A$400,0)),""))</f>
        <v/>
      </c>
      <c r="AT131" s="44" t="str">
        <f aca="false">IF(AN131="","",IFERROR(INDEX(Catalog!$F$5:$F$400,MATCH(AN131,Catalog!$A$5:$A$400,0)),""))</f>
        <v/>
      </c>
      <c r="AU131" s="31" t="str">
        <f aca="false">IF(AND(B131&lt;&gt;"",ISNUMBER(V131)),V131+ROW()/100000,"")</f>
        <v/>
      </c>
    </row>
    <row r="132" customFormat="false" ht="15" hidden="false" customHeight="false" outlineLevel="0" collapsed="false">
      <c r="A132" s="31" t="str">
        <f aca="false">IF(B132="","",ROW()-5)</f>
        <v/>
      </c>
      <c r="B132" s="32"/>
      <c r="C132" s="32"/>
      <c r="D132" s="32"/>
      <c r="E132" s="32"/>
      <c r="F132" s="32"/>
      <c r="G132" s="32"/>
      <c r="H132" s="33"/>
      <c r="I132" s="33"/>
      <c r="J132" s="32"/>
      <c r="K132" s="33"/>
      <c r="L132" s="32"/>
      <c r="M132" s="34"/>
      <c r="N132" s="34"/>
      <c r="O132" s="35" t="str">
        <f aca="false">IF(OR(M132="",N132="",M132=0),"",N132/M132)</f>
        <v/>
      </c>
      <c r="P132" s="36"/>
      <c r="Q132" s="37"/>
      <c r="R132" s="38" t="str">
        <f aca="false">IF(Q132&lt;&gt;"",Q132,IF(AND(P132&lt;&gt;"",M132&lt;&gt;""),P132*12*M132,""))</f>
        <v/>
      </c>
      <c r="S132" s="32"/>
      <c r="T132" s="32"/>
      <c r="U132" s="39"/>
      <c r="V132" s="39"/>
      <c r="W132" s="34"/>
      <c r="X132" s="32"/>
      <c r="Y132" s="34"/>
      <c r="Z132" s="40" t="str">
        <f aca="false">IF(OR(V132="",Y132=""),"",V132-Y132)</f>
        <v/>
      </c>
      <c r="AA132" s="41" t="str">
        <f aca="true">IF(V132="","",V132-TODAY())</f>
        <v/>
      </c>
      <c r="AB132" s="42" t="str">
        <f aca="false">IF(V132="","",IF(AA132&lt;0,"Past due",IF(AA132&lt;=90,"0–90 days",IF(AA132&lt;=180,"91–180 days",IF(AA132&lt;=365,"181–365 days","Over a year")))))</f>
        <v/>
      </c>
      <c r="AC132" s="43"/>
      <c r="AD132" s="32"/>
      <c r="AE132" s="32"/>
      <c r="AF132" s="33"/>
      <c r="AG132" s="32"/>
      <c r="AH132" s="33"/>
      <c r="AI132" s="32"/>
      <c r="AJ132" s="33"/>
      <c r="AK132" s="32"/>
      <c r="AL132" s="32"/>
      <c r="AM132" s="33"/>
      <c r="AN132" s="31" t="str">
        <f aca="false">IF(B132="","",IFERROR(INDEX(Lookup!$B$2:$B$3000,MATCH(TRIM(B132),Lookup!$A$2:$A$3000,0)),""))</f>
        <v/>
      </c>
      <c r="AO132" s="42" t="str">
        <f aca="false">IF(B132="","",IF(AN132="","No – will be reviewed","Yes"))</f>
        <v/>
      </c>
      <c r="AP132" s="31" t="str">
        <f aca="false">IF(AN132="","",IFERROR(INDEX(Catalog!$B$5:$B$400,MATCH(AN132,Catalog!$A$5:$A$400,0)),""))</f>
        <v/>
      </c>
      <c r="AQ132" s="31" t="str">
        <f aca="false">IF(AN132="","",IFERROR(INDEX(Catalog!$C$5:$C$400,MATCH(AN132,Catalog!$A$5:$A$400,0)),""))</f>
        <v/>
      </c>
      <c r="AR132" s="31" t="str">
        <f aca="false">IF(AN132="","",IFERROR(INDEX(Catalog!$D$5:$D$400,MATCH(AN132,Catalog!$A$5:$A$400,0)),""))</f>
        <v/>
      </c>
      <c r="AS132" s="31" t="str">
        <f aca="false">IF(AN132="","",IFERROR(INDEX(Catalog!$E$5:$E$400,MATCH(AN132,Catalog!$A$5:$A$400,0)),""))</f>
        <v/>
      </c>
      <c r="AT132" s="44" t="str">
        <f aca="false">IF(AN132="","",IFERROR(INDEX(Catalog!$F$5:$F$400,MATCH(AN132,Catalog!$A$5:$A$400,0)),""))</f>
        <v/>
      </c>
      <c r="AU132" s="31" t="str">
        <f aca="false">IF(AND(B132&lt;&gt;"",ISNUMBER(V132)),V132+ROW()/100000,"")</f>
        <v/>
      </c>
    </row>
    <row r="133" customFormat="false" ht="15" hidden="false" customHeight="false" outlineLevel="0" collapsed="false">
      <c r="A133" s="31" t="str">
        <f aca="false">IF(B133="","",ROW()-5)</f>
        <v/>
      </c>
      <c r="B133" s="32"/>
      <c r="C133" s="32"/>
      <c r="D133" s="32"/>
      <c r="E133" s="32"/>
      <c r="F133" s="32"/>
      <c r="G133" s="32"/>
      <c r="H133" s="33"/>
      <c r="I133" s="33"/>
      <c r="J133" s="32"/>
      <c r="K133" s="33"/>
      <c r="L133" s="32"/>
      <c r="M133" s="34"/>
      <c r="N133" s="34"/>
      <c r="O133" s="35" t="str">
        <f aca="false">IF(OR(M133="",N133="",M133=0),"",N133/M133)</f>
        <v/>
      </c>
      <c r="P133" s="36"/>
      <c r="Q133" s="37"/>
      <c r="R133" s="38" t="str">
        <f aca="false">IF(Q133&lt;&gt;"",Q133,IF(AND(P133&lt;&gt;"",M133&lt;&gt;""),P133*12*M133,""))</f>
        <v/>
      </c>
      <c r="S133" s="32"/>
      <c r="T133" s="32"/>
      <c r="U133" s="39"/>
      <c r="V133" s="39"/>
      <c r="W133" s="34"/>
      <c r="X133" s="32"/>
      <c r="Y133" s="34"/>
      <c r="Z133" s="40" t="str">
        <f aca="false">IF(OR(V133="",Y133=""),"",V133-Y133)</f>
        <v/>
      </c>
      <c r="AA133" s="41" t="str">
        <f aca="true">IF(V133="","",V133-TODAY())</f>
        <v/>
      </c>
      <c r="AB133" s="42" t="str">
        <f aca="false">IF(V133="","",IF(AA133&lt;0,"Past due",IF(AA133&lt;=90,"0–90 days",IF(AA133&lt;=180,"91–180 days",IF(AA133&lt;=365,"181–365 days","Over a year")))))</f>
        <v/>
      </c>
      <c r="AC133" s="43"/>
      <c r="AD133" s="32"/>
      <c r="AE133" s="32"/>
      <c r="AF133" s="33"/>
      <c r="AG133" s="32"/>
      <c r="AH133" s="33"/>
      <c r="AI133" s="32"/>
      <c r="AJ133" s="33"/>
      <c r="AK133" s="32"/>
      <c r="AL133" s="32"/>
      <c r="AM133" s="33"/>
      <c r="AN133" s="31" t="str">
        <f aca="false">IF(B133="","",IFERROR(INDEX(Lookup!$B$2:$B$3000,MATCH(TRIM(B133),Lookup!$A$2:$A$3000,0)),""))</f>
        <v/>
      </c>
      <c r="AO133" s="42" t="str">
        <f aca="false">IF(B133="","",IF(AN133="","No – will be reviewed","Yes"))</f>
        <v/>
      </c>
      <c r="AP133" s="31" t="str">
        <f aca="false">IF(AN133="","",IFERROR(INDEX(Catalog!$B$5:$B$400,MATCH(AN133,Catalog!$A$5:$A$400,0)),""))</f>
        <v/>
      </c>
      <c r="AQ133" s="31" t="str">
        <f aca="false">IF(AN133="","",IFERROR(INDEX(Catalog!$C$5:$C$400,MATCH(AN133,Catalog!$A$5:$A$400,0)),""))</f>
        <v/>
      </c>
      <c r="AR133" s="31" t="str">
        <f aca="false">IF(AN133="","",IFERROR(INDEX(Catalog!$D$5:$D$400,MATCH(AN133,Catalog!$A$5:$A$400,0)),""))</f>
        <v/>
      </c>
      <c r="AS133" s="31" t="str">
        <f aca="false">IF(AN133="","",IFERROR(INDEX(Catalog!$E$5:$E$400,MATCH(AN133,Catalog!$A$5:$A$400,0)),""))</f>
        <v/>
      </c>
      <c r="AT133" s="44" t="str">
        <f aca="false">IF(AN133="","",IFERROR(INDEX(Catalog!$F$5:$F$400,MATCH(AN133,Catalog!$A$5:$A$400,0)),""))</f>
        <v/>
      </c>
      <c r="AU133" s="31" t="str">
        <f aca="false">IF(AND(B133&lt;&gt;"",ISNUMBER(V133)),V133+ROW()/100000,"")</f>
        <v/>
      </c>
    </row>
    <row r="134" customFormat="false" ht="15" hidden="false" customHeight="false" outlineLevel="0" collapsed="false">
      <c r="A134" s="31" t="str">
        <f aca="false">IF(B134="","",ROW()-5)</f>
        <v/>
      </c>
      <c r="B134" s="32"/>
      <c r="C134" s="32"/>
      <c r="D134" s="32"/>
      <c r="E134" s="32"/>
      <c r="F134" s="32"/>
      <c r="G134" s="32"/>
      <c r="H134" s="33"/>
      <c r="I134" s="33"/>
      <c r="J134" s="32"/>
      <c r="K134" s="33"/>
      <c r="L134" s="32"/>
      <c r="M134" s="34"/>
      <c r="N134" s="34"/>
      <c r="O134" s="35" t="str">
        <f aca="false">IF(OR(M134="",N134="",M134=0),"",N134/M134)</f>
        <v/>
      </c>
      <c r="P134" s="36"/>
      <c r="Q134" s="37"/>
      <c r="R134" s="38" t="str">
        <f aca="false">IF(Q134&lt;&gt;"",Q134,IF(AND(P134&lt;&gt;"",M134&lt;&gt;""),P134*12*M134,""))</f>
        <v/>
      </c>
      <c r="S134" s="32"/>
      <c r="T134" s="32"/>
      <c r="U134" s="39"/>
      <c r="V134" s="39"/>
      <c r="W134" s="34"/>
      <c r="X134" s="32"/>
      <c r="Y134" s="34"/>
      <c r="Z134" s="40" t="str">
        <f aca="false">IF(OR(V134="",Y134=""),"",V134-Y134)</f>
        <v/>
      </c>
      <c r="AA134" s="41" t="str">
        <f aca="true">IF(V134="","",V134-TODAY())</f>
        <v/>
      </c>
      <c r="AB134" s="42" t="str">
        <f aca="false">IF(V134="","",IF(AA134&lt;0,"Past due",IF(AA134&lt;=90,"0–90 days",IF(AA134&lt;=180,"91–180 days",IF(AA134&lt;=365,"181–365 days","Over a year")))))</f>
        <v/>
      </c>
      <c r="AC134" s="43"/>
      <c r="AD134" s="32"/>
      <c r="AE134" s="32"/>
      <c r="AF134" s="33"/>
      <c r="AG134" s="32"/>
      <c r="AH134" s="33"/>
      <c r="AI134" s="32"/>
      <c r="AJ134" s="33"/>
      <c r="AK134" s="32"/>
      <c r="AL134" s="32"/>
      <c r="AM134" s="33"/>
      <c r="AN134" s="31" t="str">
        <f aca="false">IF(B134="","",IFERROR(INDEX(Lookup!$B$2:$B$3000,MATCH(TRIM(B134),Lookup!$A$2:$A$3000,0)),""))</f>
        <v/>
      </c>
      <c r="AO134" s="42" t="str">
        <f aca="false">IF(B134="","",IF(AN134="","No – will be reviewed","Yes"))</f>
        <v/>
      </c>
      <c r="AP134" s="31" t="str">
        <f aca="false">IF(AN134="","",IFERROR(INDEX(Catalog!$B$5:$B$400,MATCH(AN134,Catalog!$A$5:$A$400,0)),""))</f>
        <v/>
      </c>
      <c r="AQ134" s="31" t="str">
        <f aca="false">IF(AN134="","",IFERROR(INDEX(Catalog!$C$5:$C$400,MATCH(AN134,Catalog!$A$5:$A$400,0)),""))</f>
        <v/>
      </c>
      <c r="AR134" s="31" t="str">
        <f aca="false">IF(AN134="","",IFERROR(INDEX(Catalog!$D$5:$D$400,MATCH(AN134,Catalog!$A$5:$A$400,0)),""))</f>
        <v/>
      </c>
      <c r="AS134" s="31" t="str">
        <f aca="false">IF(AN134="","",IFERROR(INDEX(Catalog!$E$5:$E$400,MATCH(AN134,Catalog!$A$5:$A$400,0)),""))</f>
        <v/>
      </c>
      <c r="AT134" s="44" t="str">
        <f aca="false">IF(AN134="","",IFERROR(INDEX(Catalog!$F$5:$F$400,MATCH(AN134,Catalog!$A$5:$A$400,0)),""))</f>
        <v/>
      </c>
      <c r="AU134" s="31" t="str">
        <f aca="false">IF(AND(B134&lt;&gt;"",ISNUMBER(V134)),V134+ROW()/100000,"")</f>
        <v/>
      </c>
    </row>
    <row r="135" customFormat="false" ht="15" hidden="false" customHeight="false" outlineLevel="0" collapsed="false">
      <c r="A135" s="31" t="str">
        <f aca="false">IF(B135="","",ROW()-5)</f>
        <v/>
      </c>
      <c r="B135" s="32"/>
      <c r="C135" s="32"/>
      <c r="D135" s="32"/>
      <c r="E135" s="32"/>
      <c r="F135" s="32"/>
      <c r="G135" s="32"/>
      <c r="H135" s="33"/>
      <c r="I135" s="33"/>
      <c r="J135" s="32"/>
      <c r="K135" s="33"/>
      <c r="L135" s="32"/>
      <c r="M135" s="34"/>
      <c r="N135" s="34"/>
      <c r="O135" s="35" t="str">
        <f aca="false">IF(OR(M135="",N135="",M135=0),"",N135/M135)</f>
        <v/>
      </c>
      <c r="P135" s="36"/>
      <c r="Q135" s="37"/>
      <c r="R135" s="38" t="str">
        <f aca="false">IF(Q135&lt;&gt;"",Q135,IF(AND(P135&lt;&gt;"",M135&lt;&gt;""),P135*12*M135,""))</f>
        <v/>
      </c>
      <c r="S135" s="32"/>
      <c r="T135" s="32"/>
      <c r="U135" s="39"/>
      <c r="V135" s="39"/>
      <c r="W135" s="34"/>
      <c r="X135" s="32"/>
      <c r="Y135" s="34"/>
      <c r="Z135" s="40" t="str">
        <f aca="false">IF(OR(V135="",Y135=""),"",V135-Y135)</f>
        <v/>
      </c>
      <c r="AA135" s="41" t="str">
        <f aca="true">IF(V135="","",V135-TODAY())</f>
        <v/>
      </c>
      <c r="AB135" s="42" t="str">
        <f aca="false">IF(V135="","",IF(AA135&lt;0,"Past due",IF(AA135&lt;=90,"0–90 days",IF(AA135&lt;=180,"91–180 days",IF(AA135&lt;=365,"181–365 days","Over a year")))))</f>
        <v/>
      </c>
      <c r="AC135" s="43"/>
      <c r="AD135" s="32"/>
      <c r="AE135" s="32"/>
      <c r="AF135" s="33"/>
      <c r="AG135" s="32"/>
      <c r="AH135" s="33"/>
      <c r="AI135" s="32"/>
      <c r="AJ135" s="33"/>
      <c r="AK135" s="32"/>
      <c r="AL135" s="32"/>
      <c r="AM135" s="33"/>
      <c r="AN135" s="31" t="str">
        <f aca="false">IF(B135="","",IFERROR(INDEX(Lookup!$B$2:$B$3000,MATCH(TRIM(B135),Lookup!$A$2:$A$3000,0)),""))</f>
        <v/>
      </c>
      <c r="AO135" s="42" t="str">
        <f aca="false">IF(B135="","",IF(AN135="","No – will be reviewed","Yes"))</f>
        <v/>
      </c>
      <c r="AP135" s="31" t="str">
        <f aca="false">IF(AN135="","",IFERROR(INDEX(Catalog!$B$5:$B$400,MATCH(AN135,Catalog!$A$5:$A$400,0)),""))</f>
        <v/>
      </c>
      <c r="AQ135" s="31" t="str">
        <f aca="false">IF(AN135="","",IFERROR(INDEX(Catalog!$C$5:$C$400,MATCH(AN135,Catalog!$A$5:$A$400,0)),""))</f>
        <v/>
      </c>
      <c r="AR135" s="31" t="str">
        <f aca="false">IF(AN135="","",IFERROR(INDEX(Catalog!$D$5:$D$400,MATCH(AN135,Catalog!$A$5:$A$400,0)),""))</f>
        <v/>
      </c>
      <c r="AS135" s="31" t="str">
        <f aca="false">IF(AN135="","",IFERROR(INDEX(Catalog!$E$5:$E$400,MATCH(AN135,Catalog!$A$5:$A$400,0)),""))</f>
        <v/>
      </c>
      <c r="AT135" s="44" t="str">
        <f aca="false">IF(AN135="","",IFERROR(INDEX(Catalog!$F$5:$F$400,MATCH(AN135,Catalog!$A$5:$A$400,0)),""))</f>
        <v/>
      </c>
      <c r="AU135" s="31" t="str">
        <f aca="false">IF(AND(B135&lt;&gt;"",ISNUMBER(V135)),V135+ROW()/100000,"")</f>
        <v/>
      </c>
    </row>
    <row r="136" customFormat="false" ht="15" hidden="false" customHeight="false" outlineLevel="0" collapsed="false">
      <c r="A136" s="31" t="str">
        <f aca="false">IF(B136="","",ROW()-5)</f>
        <v/>
      </c>
      <c r="B136" s="32"/>
      <c r="C136" s="32"/>
      <c r="D136" s="32"/>
      <c r="E136" s="32"/>
      <c r="F136" s="32"/>
      <c r="G136" s="32"/>
      <c r="H136" s="33"/>
      <c r="I136" s="33"/>
      <c r="J136" s="32"/>
      <c r="K136" s="33"/>
      <c r="L136" s="32"/>
      <c r="M136" s="34"/>
      <c r="N136" s="34"/>
      <c r="O136" s="35" t="str">
        <f aca="false">IF(OR(M136="",N136="",M136=0),"",N136/M136)</f>
        <v/>
      </c>
      <c r="P136" s="36"/>
      <c r="Q136" s="37"/>
      <c r="R136" s="38" t="str">
        <f aca="false">IF(Q136&lt;&gt;"",Q136,IF(AND(P136&lt;&gt;"",M136&lt;&gt;""),P136*12*M136,""))</f>
        <v/>
      </c>
      <c r="S136" s="32"/>
      <c r="T136" s="32"/>
      <c r="U136" s="39"/>
      <c r="V136" s="39"/>
      <c r="W136" s="34"/>
      <c r="X136" s="32"/>
      <c r="Y136" s="34"/>
      <c r="Z136" s="40" t="str">
        <f aca="false">IF(OR(V136="",Y136=""),"",V136-Y136)</f>
        <v/>
      </c>
      <c r="AA136" s="41" t="str">
        <f aca="true">IF(V136="","",V136-TODAY())</f>
        <v/>
      </c>
      <c r="AB136" s="42" t="str">
        <f aca="false">IF(V136="","",IF(AA136&lt;0,"Past due",IF(AA136&lt;=90,"0–90 days",IF(AA136&lt;=180,"91–180 days",IF(AA136&lt;=365,"181–365 days","Over a year")))))</f>
        <v/>
      </c>
      <c r="AC136" s="43"/>
      <c r="AD136" s="32"/>
      <c r="AE136" s="32"/>
      <c r="AF136" s="33"/>
      <c r="AG136" s="32"/>
      <c r="AH136" s="33"/>
      <c r="AI136" s="32"/>
      <c r="AJ136" s="33"/>
      <c r="AK136" s="32"/>
      <c r="AL136" s="32"/>
      <c r="AM136" s="33"/>
      <c r="AN136" s="31" t="str">
        <f aca="false">IF(B136="","",IFERROR(INDEX(Lookup!$B$2:$B$3000,MATCH(TRIM(B136),Lookup!$A$2:$A$3000,0)),""))</f>
        <v/>
      </c>
      <c r="AO136" s="42" t="str">
        <f aca="false">IF(B136="","",IF(AN136="","No – will be reviewed","Yes"))</f>
        <v/>
      </c>
      <c r="AP136" s="31" t="str">
        <f aca="false">IF(AN136="","",IFERROR(INDEX(Catalog!$B$5:$B$400,MATCH(AN136,Catalog!$A$5:$A$400,0)),""))</f>
        <v/>
      </c>
      <c r="AQ136" s="31" t="str">
        <f aca="false">IF(AN136="","",IFERROR(INDEX(Catalog!$C$5:$C$400,MATCH(AN136,Catalog!$A$5:$A$400,0)),""))</f>
        <v/>
      </c>
      <c r="AR136" s="31" t="str">
        <f aca="false">IF(AN136="","",IFERROR(INDEX(Catalog!$D$5:$D$400,MATCH(AN136,Catalog!$A$5:$A$400,0)),""))</f>
        <v/>
      </c>
      <c r="AS136" s="31" t="str">
        <f aca="false">IF(AN136="","",IFERROR(INDEX(Catalog!$E$5:$E$400,MATCH(AN136,Catalog!$A$5:$A$400,0)),""))</f>
        <v/>
      </c>
      <c r="AT136" s="44" t="str">
        <f aca="false">IF(AN136="","",IFERROR(INDEX(Catalog!$F$5:$F$400,MATCH(AN136,Catalog!$A$5:$A$400,0)),""))</f>
        <v/>
      </c>
      <c r="AU136" s="31" t="str">
        <f aca="false">IF(AND(B136&lt;&gt;"",ISNUMBER(V136)),V136+ROW()/100000,"")</f>
        <v/>
      </c>
    </row>
    <row r="137" customFormat="false" ht="15" hidden="false" customHeight="false" outlineLevel="0" collapsed="false">
      <c r="A137" s="31" t="str">
        <f aca="false">IF(B137="","",ROW()-5)</f>
        <v/>
      </c>
      <c r="B137" s="32"/>
      <c r="C137" s="32"/>
      <c r="D137" s="32"/>
      <c r="E137" s="32"/>
      <c r="F137" s="32"/>
      <c r="G137" s="32"/>
      <c r="H137" s="33"/>
      <c r="I137" s="33"/>
      <c r="J137" s="32"/>
      <c r="K137" s="33"/>
      <c r="L137" s="32"/>
      <c r="M137" s="34"/>
      <c r="N137" s="34"/>
      <c r="O137" s="35" t="str">
        <f aca="false">IF(OR(M137="",N137="",M137=0),"",N137/M137)</f>
        <v/>
      </c>
      <c r="P137" s="36"/>
      <c r="Q137" s="37"/>
      <c r="R137" s="38" t="str">
        <f aca="false">IF(Q137&lt;&gt;"",Q137,IF(AND(P137&lt;&gt;"",M137&lt;&gt;""),P137*12*M137,""))</f>
        <v/>
      </c>
      <c r="S137" s="32"/>
      <c r="T137" s="32"/>
      <c r="U137" s="39"/>
      <c r="V137" s="39"/>
      <c r="W137" s="34"/>
      <c r="X137" s="32"/>
      <c r="Y137" s="34"/>
      <c r="Z137" s="40" t="str">
        <f aca="false">IF(OR(V137="",Y137=""),"",V137-Y137)</f>
        <v/>
      </c>
      <c r="AA137" s="41" t="str">
        <f aca="true">IF(V137="","",V137-TODAY())</f>
        <v/>
      </c>
      <c r="AB137" s="42" t="str">
        <f aca="false">IF(V137="","",IF(AA137&lt;0,"Past due",IF(AA137&lt;=90,"0–90 days",IF(AA137&lt;=180,"91–180 days",IF(AA137&lt;=365,"181–365 days","Over a year")))))</f>
        <v/>
      </c>
      <c r="AC137" s="43"/>
      <c r="AD137" s="32"/>
      <c r="AE137" s="32"/>
      <c r="AF137" s="33"/>
      <c r="AG137" s="32"/>
      <c r="AH137" s="33"/>
      <c r="AI137" s="32"/>
      <c r="AJ137" s="33"/>
      <c r="AK137" s="32"/>
      <c r="AL137" s="32"/>
      <c r="AM137" s="33"/>
      <c r="AN137" s="31" t="str">
        <f aca="false">IF(B137="","",IFERROR(INDEX(Lookup!$B$2:$B$3000,MATCH(TRIM(B137),Lookup!$A$2:$A$3000,0)),""))</f>
        <v/>
      </c>
      <c r="AO137" s="42" t="str">
        <f aca="false">IF(B137="","",IF(AN137="","No – will be reviewed","Yes"))</f>
        <v/>
      </c>
      <c r="AP137" s="31" t="str">
        <f aca="false">IF(AN137="","",IFERROR(INDEX(Catalog!$B$5:$B$400,MATCH(AN137,Catalog!$A$5:$A$400,0)),""))</f>
        <v/>
      </c>
      <c r="AQ137" s="31" t="str">
        <f aca="false">IF(AN137="","",IFERROR(INDEX(Catalog!$C$5:$C$400,MATCH(AN137,Catalog!$A$5:$A$400,0)),""))</f>
        <v/>
      </c>
      <c r="AR137" s="31" t="str">
        <f aca="false">IF(AN137="","",IFERROR(INDEX(Catalog!$D$5:$D$400,MATCH(AN137,Catalog!$A$5:$A$400,0)),""))</f>
        <v/>
      </c>
      <c r="AS137" s="31" t="str">
        <f aca="false">IF(AN137="","",IFERROR(INDEX(Catalog!$E$5:$E$400,MATCH(AN137,Catalog!$A$5:$A$400,0)),""))</f>
        <v/>
      </c>
      <c r="AT137" s="44" t="str">
        <f aca="false">IF(AN137="","",IFERROR(INDEX(Catalog!$F$5:$F$400,MATCH(AN137,Catalog!$A$5:$A$400,0)),""))</f>
        <v/>
      </c>
      <c r="AU137" s="31" t="str">
        <f aca="false">IF(AND(B137&lt;&gt;"",ISNUMBER(V137)),V137+ROW()/100000,"")</f>
        <v/>
      </c>
    </row>
    <row r="138" customFormat="false" ht="15" hidden="false" customHeight="false" outlineLevel="0" collapsed="false">
      <c r="A138" s="31" t="str">
        <f aca="false">IF(B138="","",ROW()-5)</f>
        <v/>
      </c>
      <c r="B138" s="32"/>
      <c r="C138" s="32"/>
      <c r="D138" s="32"/>
      <c r="E138" s="32"/>
      <c r="F138" s="32"/>
      <c r="G138" s="32"/>
      <c r="H138" s="33"/>
      <c r="I138" s="33"/>
      <c r="J138" s="32"/>
      <c r="K138" s="33"/>
      <c r="L138" s="32"/>
      <c r="M138" s="34"/>
      <c r="N138" s="34"/>
      <c r="O138" s="35" t="str">
        <f aca="false">IF(OR(M138="",N138="",M138=0),"",N138/M138)</f>
        <v/>
      </c>
      <c r="P138" s="36"/>
      <c r="Q138" s="37"/>
      <c r="R138" s="38" t="str">
        <f aca="false">IF(Q138&lt;&gt;"",Q138,IF(AND(P138&lt;&gt;"",M138&lt;&gt;""),P138*12*M138,""))</f>
        <v/>
      </c>
      <c r="S138" s="32"/>
      <c r="T138" s="32"/>
      <c r="U138" s="39"/>
      <c r="V138" s="39"/>
      <c r="W138" s="34"/>
      <c r="X138" s="32"/>
      <c r="Y138" s="34"/>
      <c r="Z138" s="40" t="str">
        <f aca="false">IF(OR(V138="",Y138=""),"",V138-Y138)</f>
        <v/>
      </c>
      <c r="AA138" s="41" t="str">
        <f aca="true">IF(V138="","",V138-TODAY())</f>
        <v/>
      </c>
      <c r="AB138" s="42" t="str">
        <f aca="false">IF(V138="","",IF(AA138&lt;0,"Past due",IF(AA138&lt;=90,"0–90 days",IF(AA138&lt;=180,"91–180 days",IF(AA138&lt;=365,"181–365 days","Over a year")))))</f>
        <v/>
      </c>
      <c r="AC138" s="43"/>
      <c r="AD138" s="32"/>
      <c r="AE138" s="32"/>
      <c r="AF138" s="33"/>
      <c r="AG138" s="32"/>
      <c r="AH138" s="33"/>
      <c r="AI138" s="32"/>
      <c r="AJ138" s="33"/>
      <c r="AK138" s="32"/>
      <c r="AL138" s="32"/>
      <c r="AM138" s="33"/>
      <c r="AN138" s="31" t="str">
        <f aca="false">IF(B138="","",IFERROR(INDEX(Lookup!$B$2:$B$3000,MATCH(TRIM(B138),Lookup!$A$2:$A$3000,0)),""))</f>
        <v/>
      </c>
      <c r="AO138" s="42" t="str">
        <f aca="false">IF(B138="","",IF(AN138="","No – will be reviewed","Yes"))</f>
        <v/>
      </c>
      <c r="AP138" s="31" t="str">
        <f aca="false">IF(AN138="","",IFERROR(INDEX(Catalog!$B$5:$B$400,MATCH(AN138,Catalog!$A$5:$A$400,0)),""))</f>
        <v/>
      </c>
      <c r="AQ138" s="31" t="str">
        <f aca="false">IF(AN138="","",IFERROR(INDEX(Catalog!$C$5:$C$400,MATCH(AN138,Catalog!$A$5:$A$400,0)),""))</f>
        <v/>
      </c>
      <c r="AR138" s="31" t="str">
        <f aca="false">IF(AN138="","",IFERROR(INDEX(Catalog!$D$5:$D$400,MATCH(AN138,Catalog!$A$5:$A$400,0)),""))</f>
        <v/>
      </c>
      <c r="AS138" s="31" t="str">
        <f aca="false">IF(AN138="","",IFERROR(INDEX(Catalog!$E$5:$E$400,MATCH(AN138,Catalog!$A$5:$A$400,0)),""))</f>
        <v/>
      </c>
      <c r="AT138" s="44" t="str">
        <f aca="false">IF(AN138="","",IFERROR(INDEX(Catalog!$F$5:$F$400,MATCH(AN138,Catalog!$A$5:$A$400,0)),""))</f>
        <v/>
      </c>
      <c r="AU138" s="31" t="str">
        <f aca="false">IF(AND(B138&lt;&gt;"",ISNUMBER(V138)),V138+ROW()/100000,"")</f>
        <v/>
      </c>
    </row>
    <row r="139" customFormat="false" ht="15" hidden="false" customHeight="false" outlineLevel="0" collapsed="false">
      <c r="A139" s="31" t="str">
        <f aca="false">IF(B139="","",ROW()-5)</f>
        <v/>
      </c>
      <c r="B139" s="32"/>
      <c r="C139" s="32"/>
      <c r="D139" s="32"/>
      <c r="E139" s="32"/>
      <c r="F139" s="32"/>
      <c r="G139" s="32"/>
      <c r="H139" s="33"/>
      <c r="I139" s="33"/>
      <c r="J139" s="32"/>
      <c r="K139" s="33"/>
      <c r="L139" s="32"/>
      <c r="M139" s="34"/>
      <c r="N139" s="34"/>
      <c r="O139" s="35" t="str">
        <f aca="false">IF(OR(M139="",N139="",M139=0),"",N139/M139)</f>
        <v/>
      </c>
      <c r="P139" s="36"/>
      <c r="Q139" s="37"/>
      <c r="R139" s="38" t="str">
        <f aca="false">IF(Q139&lt;&gt;"",Q139,IF(AND(P139&lt;&gt;"",M139&lt;&gt;""),P139*12*M139,""))</f>
        <v/>
      </c>
      <c r="S139" s="32"/>
      <c r="T139" s="32"/>
      <c r="U139" s="39"/>
      <c r="V139" s="39"/>
      <c r="W139" s="34"/>
      <c r="X139" s="32"/>
      <c r="Y139" s="34"/>
      <c r="Z139" s="40" t="str">
        <f aca="false">IF(OR(V139="",Y139=""),"",V139-Y139)</f>
        <v/>
      </c>
      <c r="AA139" s="41" t="str">
        <f aca="true">IF(V139="","",V139-TODAY())</f>
        <v/>
      </c>
      <c r="AB139" s="42" t="str">
        <f aca="false">IF(V139="","",IF(AA139&lt;0,"Past due",IF(AA139&lt;=90,"0–90 days",IF(AA139&lt;=180,"91–180 days",IF(AA139&lt;=365,"181–365 days","Over a year")))))</f>
        <v/>
      </c>
      <c r="AC139" s="43"/>
      <c r="AD139" s="32"/>
      <c r="AE139" s="32"/>
      <c r="AF139" s="33"/>
      <c r="AG139" s="32"/>
      <c r="AH139" s="33"/>
      <c r="AI139" s="32"/>
      <c r="AJ139" s="33"/>
      <c r="AK139" s="32"/>
      <c r="AL139" s="32"/>
      <c r="AM139" s="33"/>
      <c r="AN139" s="31" t="str">
        <f aca="false">IF(B139="","",IFERROR(INDEX(Lookup!$B$2:$B$3000,MATCH(TRIM(B139),Lookup!$A$2:$A$3000,0)),""))</f>
        <v/>
      </c>
      <c r="AO139" s="42" t="str">
        <f aca="false">IF(B139="","",IF(AN139="","No – will be reviewed","Yes"))</f>
        <v/>
      </c>
      <c r="AP139" s="31" t="str">
        <f aca="false">IF(AN139="","",IFERROR(INDEX(Catalog!$B$5:$B$400,MATCH(AN139,Catalog!$A$5:$A$400,0)),""))</f>
        <v/>
      </c>
      <c r="AQ139" s="31" t="str">
        <f aca="false">IF(AN139="","",IFERROR(INDEX(Catalog!$C$5:$C$400,MATCH(AN139,Catalog!$A$5:$A$400,0)),""))</f>
        <v/>
      </c>
      <c r="AR139" s="31" t="str">
        <f aca="false">IF(AN139="","",IFERROR(INDEX(Catalog!$D$5:$D$400,MATCH(AN139,Catalog!$A$5:$A$400,0)),""))</f>
        <v/>
      </c>
      <c r="AS139" s="31" t="str">
        <f aca="false">IF(AN139="","",IFERROR(INDEX(Catalog!$E$5:$E$400,MATCH(AN139,Catalog!$A$5:$A$400,0)),""))</f>
        <v/>
      </c>
      <c r="AT139" s="44" t="str">
        <f aca="false">IF(AN139="","",IFERROR(INDEX(Catalog!$F$5:$F$400,MATCH(AN139,Catalog!$A$5:$A$400,0)),""))</f>
        <v/>
      </c>
      <c r="AU139" s="31" t="str">
        <f aca="false">IF(AND(B139&lt;&gt;"",ISNUMBER(V139)),V139+ROW()/100000,"")</f>
        <v/>
      </c>
    </row>
    <row r="140" customFormat="false" ht="15" hidden="false" customHeight="false" outlineLevel="0" collapsed="false">
      <c r="A140" s="31" t="str">
        <f aca="false">IF(B140="","",ROW()-5)</f>
        <v/>
      </c>
      <c r="B140" s="32"/>
      <c r="C140" s="32"/>
      <c r="D140" s="32"/>
      <c r="E140" s="32"/>
      <c r="F140" s="32"/>
      <c r="G140" s="32"/>
      <c r="H140" s="33"/>
      <c r="I140" s="33"/>
      <c r="J140" s="32"/>
      <c r="K140" s="33"/>
      <c r="L140" s="32"/>
      <c r="M140" s="34"/>
      <c r="N140" s="34"/>
      <c r="O140" s="35" t="str">
        <f aca="false">IF(OR(M140="",N140="",M140=0),"",N140/M140)</f>
        <v/>
      </c>
      <c r="P140" s="36"/>
      <c r="Q140" s="37"/>
      <c r="R140" s="38" t="str">
        <f aca="false">IF(Q140&lt;&gt;"",Q140,IF(AND(P140&lt;&gt;"",M140&lt;&gt;""),P140*12*M140,""))</f>
        <v/>
      </c>
      <c r="S140" s="32"/>
      <c r="T140" s="32"/>
      <c r="U140" s="39"/>
      <c r="V140" s="39"/>
      <c r="W140" s="34"/>
      <c r="X140" s="32"/>
      <c r="Y140" s="34"/>
      <c r="Z140" s="40" t="str">
        <f aca="false">IF(OR(V140="",Y140=""),"",V140-Y140)</f>
        <v/>
      </c>
      <c r="AA140" s="41" t="str">
        <f aca="true">IF(V140="","",V140-TODAY())</f>
        <v/>
      </c>
      <c r="AB140" s="42" t="str">
        <f aca="false">IF(V140="","",IF(AA140&lt;0,"Past due",IF(AA140&lt;=90,"0–90 days",IF(AA140&lt;=180,"91–180 days",IF(AA140&lt;=365,"181–365 days","Over a year")))))</f>
        <v/>
      </c>
      <c r="AC140" s="43"/>
      <c r="AD140" s="32"/>
      <c r="AE140" s="32"/>
      <c r="AF140" s="33"/>
      <c r="AG140" s="32"/>
      <c r="AH140" s="33"/>
      <c r="AI140" s="32"/>
      <c r="AJ140" s="33"/>
      <c r="AK140" s="32"/>
      <c r="AL140" s="32"/>
      <c r="AM140" s="33"/>
      <c r="AN140" s="31" t="str">
        <f aca="false">IF(B140="","",IFERROR(INDEX(Lookup!$B$2:$B$3000,MATCH(TRIM(B140),Lookup!$A$2:$A$3000,0)),""))</f>
        <v/>
      </c>
      <c r="AO140" s="42" t="str">
        <f aca="false">IF(B140="","",IF(AN140="","No – will be reviewed","Yes"))</f>
        <v/>
      </c>
      <c r="AP140" s="31" t="str">
        <f aca="false">IF(AN140="","",IFERROR(INDEX(Catalog!$B$5:$B$400,MATCH(AN140,Catalog!$A$5:$A$400,0)),""))</f>
        <v/>
      </c>
      <c r="AQ140" s="31" t="str">
        <f aca="false">IF(AN140="","",IFERROR(INDEX(Catalog!$C$5:$C$400,MATCH(AN140,Catalog!$A$5:$A$400,0)),""))</f>
        <v/>
      </c>
      <c r="AR140" s="31" t="str">
        <f aca="false">IF(AN140="","",IFERROR(INDEX(Catalog!$D$5:$D$400,MATCH(AN140,Catalog!$A$5:$A$400,0)),""))</f>
        <v/>
      </c>
      <c r="AS140" s="31" t="str">
        <f aca="false">IF(AN140="","",IFERROR(INDEX(Catalog!$E$5:$E$400,MATCH(AN140,Catalog!$A$5:$A$400,0)),""))</f>
        <v/>
      </c>
      <c r="AT140" s="44" t="str">
        <f aca="false">IF(AN140="","",IFERROR(INDEX(Catalog!$F$5:$F$400,MATCH(AN140,Catalog!$A$5:$A$400,0)),""))</f>
        <v/>
      </c>
      <c r="AU140" s="31" t="str">
        <f aca="false">IF(AND(B140&lt;&gt;"",ISNUMBER(V140)),V140+ROW()/100000,"")</f>
        <v/>
      </c>
    </row>
    <row r="141" customFormat="false" ht="15" hidden="false" customHeight="false" outlineLevel="0" collapsed="false">
      <c r="A141" s="31" t="str">
        <f aca="false">IF(B141="","",ROW()-5)</f>
        <v/>
      </c>
      <c r="B141" s="32"/>
      <c r="C141" s="32"/>
      <c r="D141" s="32"/>
      <c r="E141" s="32"/>
      <c r="F141" s="32"/>
      <c r="G141" s="32"/>
      <c r="H141" s="33"/>
      <c r="I141" s="33"/>
      <c r="J141" s="32"/>
      <c r="K141" s="33"/>
      <c r="L141" s="32"/>
      <c r="M141" s="34"/>
      <c r="N141" s="34"/>
      <c r="O141" s="35" t="str">
        <f aca="false">IF(OR(M141="",N141="",M141=0),"",N141/M141)</f>
        <v/>
      </c>
      <c r="P141" s="36"/>
      <c r="Q141" s="37"/>
      <c r="R141" s="38" t="str">
        <f aca="false">IF(Q141&lt;&gt;"",Q141,IF(AND(P141&lt;&gt;"",M141&lt;&gt;""),P141*12*M141,""))</f>
        <v/>
      </c>
      <c r="S141" s="32"/>
      <c r="T141" s="32"/>
      <c r="U141" s="39"/>
      <c r="V141" s="39"/>
      <c r="W141" s="34"/>
      <c r="X141" s="32"/>
      <c r="Y141" s="34"/>
      <c r="Z141" s="40" t="str">
        <f aca="false">IF(OR(V141="",Y141=""),"",V141-Y141)</f>
        <v/>
      </c>
      <c r="AA141" s="41" t="str">
        <f aca="true">IF(V141="","",V141-TODAY())</f>
        <v/>
      </c>
      <c r="AB141" s="42" t="str">
        <f aca="false">IF(V141="","",IF(AA141&lt;0,"Past due",IF(AA141&lt;=90,"0–90 days",IF(AA141&lt;=180,"91–180 days",IF(AA141&lt;=365,"181–365 days","Over a year")))))</f>
        <v/>
      </c>
      <c r="AC141" s="43"/>
      <c r="AD141" s="32"/>
      <c r="AE141" s="32"/>
      <c r="AF141" s="33"/>
      <c r="AG141" s="32"/>
      <c r="AH141" s="33"/>
      <c r="AI141" s="32"/>
      <c r="AJ141" s="33"/>
      <c r="AK141" s="32"/>
      <c r="AL141" s="32"/>
      <c r="AM141" s="33"/>
      <c r="AN141" s="31" t="str">
        <f aca="false">IF(B141="","",IFERROR(INDEX(Lookup!$B$2:$B$3000,MATCH(TRIM(B141),Lookup!$A$2:$A$3000,0)),""))</f>
        <v/>
      </c>
      <c r="AO141" s="42" t="str">
        <f aca="false">IF(B141="","",IF(AN141="","No – will be reviewed","Yes"))</f>
        <v/>
      </c>
      <c r="AP141" s="31" t="str">
        <f aca="false">IF(AN141="","",IFERROR(INDEX(Catalog!$B$5:$B$400,MATCH(AN141,Catalog!$A$5:$A$400,0)),""))</f>
        <v/>
      </c>
      <c r="AQ141" s="31" t="str">
        <f aca="false">IF(AN141="","",IFERROR(INDEX(Catalog!$C$5:$C$400,MATCH(AN141,Catalog!$A$5:$A$400,0)),""))</f>
        <v/>
      </c>
      <c r="AR141" s="31" t="str">
        <f aca="false">IF(AN141="","",IFERROR(INDEX(Catalog!$D$5:$D$400,MATCH(AN141,Catalog!$A$5:$A$400,0)),""))</f>
        <v/>
      </c>
      <c r="AS141" s="31" t="str">
        <f aca="false">IF(AN141="","",IFERROR(INDEX(Catalog!$E$5:$E$400,MATCH(AN141,Catalog!$A$5:$A$400,0)),""))</f>
        <v/>
      </c>
      <c r="AT141" s="44" t="str">
        <f aca="false">IF(AN141="","",IFERROR(INDEX(Catalog!$F$5:$F$400,MATCH(AN141,Catalog!$A$5:$A$400,0)),""))</f>
        <v/>
      </c>
      <c r="AU141" s="31" t="str">
        <f aca="false">IF(AND(B141&lt;&gt;"",ISNUMBER(V141)),V141+ROW()/100000,"")</f>
        <v/>
      </c>
    </row>
    <row r="142" customFormat="false" ht="15" hidden="false" customHeight="false" outlineLevel="0" collapsed="false">
      <c r="A142" s="31" t="str">
        <f aca="false">IF(B142="","",ROW()-5)</f>
        <v/>
      </c>
      <c r="B142" s="32"/>
      <c r="C142" s="32"/>
      <c r="D142" s="32"/>
      <c r="E142" s="32"/>
      <c r="F142" s="32"/>
      <c r="G142" s="32"/>
      <c r="H142" s="33"/>
      <c r="I142" s="33"/>
      <c r="J142" s="32"/>
      <c r="K142" s="33"/>
      <c r="L142" s="32"/>
      <c r="M142" s="34"/>
      <c r="N142" s="34"/>
      <c r="O142" s="35" t="str">
        <f aca="false">IF(OR(M142="",N142="",M142=0),"",N142/M142)</f>
        <v/>
      </c>
      <c r="P142" s="36"/>
      <c r="Q142" s="37"/>
      <c r="R142" s="38" t="str">
        <f aca="false">IF(Q142&lt;&gt;"",Q142,IF(AND(P142&lt;&gt;"",M142&lt;&gt;""),P142*12*M142,""))</f>
        <v/>
      </c>
      <c r="S142" s="32"/>
      <c r="T142" s="32"/>
      <c r="U142" s="39"/>
      <c r="V142" s="39"/>
      <c r="W142" s="34"/>
      <c r="X142" s="32"/>
      <c r="Y142" s="34"/>
      <c r="Z142" s="40" t="str">
        <f aca="false">IF(OR(V142="",Y142=""),"",V142-Y142)</f>
        <v/>
      </c>
      <c r="AA142" s="41" t="str">
        <f aca="true">IF(V142="","",V142-TODAY())</f>
        <v/>
      </c>
      <c r="AB142" s="42" t="str">
        <f aca="false">IF(V142="","",IF(AA142&lt;0,"Past due",IF(AA142&lt;=90,"0–90 days",IF(AA142&lt;=180,"91–180 days",IF(AA142&lt;=365,"181–365 days","Over a year")))))</f>
        <v/>
      </c>
      <c r="AC142" s="43"/>
      <c r="AD142" s="32"/>
      <c r="AE142" s="32"/>
      <c r="AF142" s="33"/>
      <c r="AG142" s="32"/>
      <c r="AH142" s="33"/>
      <c r="AI142" s="32"/>
      <c r="AJ142" s="33"/>
      <c r="AK142" s="32"/>
      <c r="AL142" s="32"/>
      <c r="AM142" s="33"/>
      <c r="AN142" s="31" t="str">
        <f aca="false">IF(B142="","",IFERROR(INDEX(Lookup!$B$2:$B$3000,MATCH(TRIM(B142),Lookup!$A$2:$A$3000,0)),""))</f>
        <v/>
      </c>
      <c r="AO142" s="42" t="str">
        <f aca="false">IF(B142="","",IF(AN142="","No – will be reviewed","Yes"))</f>
        <v/>
      </c>
      <c r="AP142" s="31" t="str">
        <f aca="false">IF(AN142="","",IFERROR(INDEX(Catalog!$B$5:$B$400,MATCH(AN142,Catalog!$A$5:$A$400,0)),""))</f>
        <v/>
      </c>
      <c r="AQ142" s="31" t="str">
        <f aca="false">IF(AN142="","",IFERROR(INDEX(Catalog!$C$5:$C$400,MATCH(AN142,Catalog!$A$5:$A$400,0)),""))</f>
        <v/>
      </c>
      <c r="AR142" s="31" t="str">
        <f aca="false">IF(AN142="","",IFERROR(INDEX(Catalog!$D$5:$D$400,MATCH(AN142,Catalog!$A$5:$A$400,0)),""))</f>
        <v/>
      </c>
      <c r="AS142" s="31" t="str">
        <f aca="false">IF(AN142="","",IFERROR(INDEX(Catalog!$E$5:$E$400,MATCH(AN142,Catalog!$A$5:$A$400,0)),""))</f>
        <v/>
      </c>
      <c r="AT142" s="44" t="str">
        <f aca="false">IF(AN142="","",IFERROR(INDEX(Catalog!$F$5:$F$400,MATCH(AN142,Catalog!$A$5:$A$400,0)),""))</f>
        <v/>
      </c>
      <c r="AU142" s="31" t="str">
        <f aca="false">IF(AND(B142&lt;&gt;"",ISNUMBER(V142)),V142+ROW()/100000,"")</f>
        <v/>
      </c>
    </row>
    <row r="143" customFormat="false" ht="15" hidden="false" customHeight="false" outlineLevel="0" collapsed="false">
      <c r="A143" s="31" t="str">
        <f aca="false">IF(B143="","",ROW()-5)</f>
        <v/>
      </c>
      <c r="B143" s="32"/>
      <c r="C143" s="32"/>
      <c r="D143" s="32"/>
      <c r="E143" s="32"/>
      <c r="F143" s="32"/>
      <c r="G143" s="32"/>
      <c r="H143" s="33"/>
      <c r="I143" s="33"/>
      <c r="J143" s="32"/>
      <c r="K143" s="33"/>
      <c r="L143" s="32"/>
      <c r="M143" s="34"/>
      <c r="N143" s="34"/>
      <c r="O143" s="35" t="str">
        <f aca="false">IF(OR(M143="",N143="",M143=0),"",N143/M143)</f>
        <v/>
      </c>
      <c r="P143" s="36"/>
      <c r="Q143" s="37"/>
      <c r="R143" s="38" t="str">
        <f aca="false">IF(Q143&lt;&gt;"",Q143,IF(AND(P143&lt;&gt;"",M143&lt;&gt;""),P143*12*M143,""))</f>
        <v/>
      </c>
      <c r="S143" s="32"/>
      <c r="T143" s="32"/>
      <c r="U143" s="39"/>
      <c r="V143" s="39"/>
      <c r="W143" s="34"/>
      <c r="X143" s="32"/>
      <c r="Y143" s="34"/>
      <c r="Z143" s="40" t="str">
        <f aca="false">IF(OR(V143="",Y143=""),"",V143-Y143)</f>
        <v/>
      </c>
      <c r="AA143" s="41" t="str">
        <f aca="true">IF(V143="","",V143-TODAY())</f>
        <v/>
      </c>
      <c r="AB143" s="42" t="str">
        <f aca="false">IF(V143="","",IF(AA143&lt;0,"Past due",IF(AA143&lt;=90,"0–90 days",IF(AA143&lt;=180,"91–180 days",IF(AA143&lt;=365,"181–365 days","Over a year")))))</f>
        <v/>
      </c>
      <c r="AC143" s="43"/>
      <c r="AD143" s="32"/>
      <c r="AE143" s="32"/>
      <c r="AF143" s="33"/>
      <c r="AG143" s="32"/>
      <c r="AH143" s="33"/>
      <c r="AI143" s="32"/>
      <c r="AJ143" s="33"/>
      <c r="AK143" s="32"/>
      <c r="AL143" s="32"/>
      <c r="AM143" s="33"/>
      <c r="AN143" s="31" t="str">
        <f aca="false">IF(B143="","",IFERROR(INDEX(Lookup!$B$2:$B$3000,MATCH(TRIM(B143),Lookup!$A$2:$A$3000,0)),""))</f>
        <v/>
      </c>
      <c r="AO143" s="42" t="str">
        <f aca="false">IF(B143="","",IF(AN143="","No – will be reviewed","Yes"))</f>
        <v/>
      </c>
      <c r="AP143" s="31" t="str">
        <f aca="false">IF(AN143="","",IFERROR(INDEX(Catalog!$B$5:$B$400,MATCH(AN143,Catalog!$A$5:$A$400,0)),""))</f>
        <v/>
      </c>
      <c r="AQ143" s="31" t="str">
        <f aca="false">IF(AN143="","",IFERROR(INDEX(Catalog!$C$5:$C$400,MATCH(AN143,Catalog!$A$5:$A$400,0)),""))</f>
        <v/>
      </c>
      <c r="AR143" s="31" t="str">
        <f aca="false">IF(AN143="","",IFERROR(INDEX(Catalog!$D$5:$D$400,MATCH(AN143,Catalog!$A$5:$A$400,0)),""))</f>
        <v/>
      </c>
      <c r="AS143" s="31" t="str">
        <f aca="false">IF(AN143="","",IFERROR(INDEX(Catalog!$E$5:$E$400,MATCH(AN143,Catalog!$A$5:$A$400,0)),""))</f>
        <v/>
      </c>
      <c r="AT143" s="44" t="str">
        <f aca="false">IF(AN143="","",IFERROR(INDEX(Catalog!$F$5:$F$400,MATCH(AN143,Catalog!$A$5:$A$400,0)),""))</f>
        <v/>
      </c>
      <c r="AU143" s="31" t="str">
        <f aca="false">IF(AND(B143&lt;&gt;"",ISNUMBER(V143)),V143+ROW()/100000,"")</f>
        <v/>
      </c>
    </row>
    <row r="144" customFormat="false" ht="15" hidden="false" customHeight="false" outlineLevel="0" collapsed="false">
      <c r="A144" s="31" t="str">
        <f aca="false">IF(B144="","",ROW()-5)</f>
        <v/>
      </c>
      <c r="B144" s="32"/>
      <c r="C144" s="32"/>
      <c r="D144" s="32"/>
      <c r="E144" s="32"/>
      <c r="F144" s="32"/>
      <c r="G144" s="32"/>
      <c r="H144" s="33"/>
      <c r="I144" s="33"/>
      <c r="J144" s="32"/>
      <c r="K144" s="33"/>
      <c r="L144" s="32"/>
      <c r="M144" s="34"/>
      <c r="N144" s="34"/>
      <c r="O144" s="35" t="str">
        <f aca="false">IF(OR(M144="",N144="",M144=0),"",N144/M144)</f>
        <v/>
      </c>
      <c r="P144" s="36"/>
      <c r="Q144" s="37"/>
      <c r="R144" s="38" t="str">
        <f aca="false">IF(Q144&lt;&gt;"",Q144,IF(AND(P144&lt;&gt;"",M144&lt;&gt;""),P144*12*M144,""))</f>
        <v/>
      </c>
      <c r="S144" s="32"/>
      <c r="T144" s="32"/>
      <c r="U144" s="39"/>
      <c r="V144" s="39"/>
      <c r="W144" s="34"/>
      <c r="X144" s="32"/>
      <c r="Y144" s="34"/>
      <c r="Z144" s="40" t="str">
        <f aca="false">IF(OR(V144="",Y144=""),"",V144-Y144)</f>
        <v/>
      </c>
      <c r="AA144" s="41" t="str">
        <f aca="true">IF(V144="","",V144-TODAY())</f>
        <v/>
      </c>
      <c r="AB144" s="42" t="str">
        <f aca="false">IF(V144="","",IF(AA144&lt;0,"Past due",IF(AA144&lt;=90,"0–90 days",IF(AA144&lt;=180,"91–180 days",IF(AA144&lt;=365,"181–365 days","Over a year")))))</f>
        <v/>
      </c>
      <c r="AC144" s="43"/>
      <c r="AD144" s="32"/>
      <c r="AE144" s="32"/>
      <c r="AF144" s="33"/>
      <c r="AG144" s="32"/>
      <c r="AH144" s="33"/>
      <c r="AI144" s="32"/>
      <c r="AJ144" s="33"/>
      <c r="AK144" s="32"/>
      <c r="AL144" s="32"/>
      <c r="AM144" s="33"/>
      <c r="AN144" s="31" t="str">
        <f aca="false">IF(B144="","",IFERROR(INDEX(Lookup!$B$2:$B$3000,MATCH(TRIM(B144),Lookup!$A$2:$A$3000,0)),""))</f>
        <v/>
      </c>
      <c r="AO144" s="42" t="str">
        <f aca="false">IF(B144="","",IF(AN144="","No – will be reviewed","Yes"))</f>
        <v/>
      </c>
      <c r="AP144" s="31" t="str">
        <f aca="false">IF(AN144="","",IFERROR(INDEX(Catalog!$B$5:$B$400,MATCH(AN144,Catalog!$A$5:$A$400,0)),""))</f>
        <v/>
      </c>
      <c r="AQ144" s="31" t="str">
        <f aca="false">IF(AN144="","",IFERROR(INDEX(Catalog!$C$5:$C$400,MATCH(AN144,Catalog!$A$5:$A$400,0)),""))</f>
        <v/>
      </c>
      <c r="AR144" s="31" t="str">
        <f aca="false">IF(AN144="","",IFERROR(INDEX(Catalog!$D$5:$D$400,MATCH(AN144,Catalog!$A$5:$A$400,0)),""))</f>
        <v/>
      </c>
      <c r="AS144" s="31" t="str">
        <f aca="false">IF(AN144="","",IFERROR(INDEX(Catalog!$E$5:$E$400,MATCH(AN144,Catalog!$A$5:$A$400,0)),""))</f>
        <v/>
      </c>
      <c r="AT144" s="44" t="str">
        <f aca="false">IF(AN144="","",IFERROR(INDEX(Catalog!$F$5:$F$400,MATCH(AN144,Catalog!$A$5:$A$400,0)),""))</f>
        <v/>
      </c>
      <c r="AU144" s="31" t="str">
        <f aca="false">IF(AND(B144&lt;&gt;"",ISNUMBER(V144)),V144+ROW()/100000,"")</f>
        <v/>
      </c>
    </row>
    <row r="145" customFormat="false" ht="15" hidden="false" customHeight="false" outlineLevel="0" collapsed="false">
      <c r="A145" s="31" t="str">
        <f aca="false">IF(B145="","",ROW()-5)</f>
        <v/>
      </c>
      <c r="B145" s="32"/>
      <c r="C145" s="32"/>
      <c r="D145" s="32"/>
      <c r="E145" s="32"/>
      <c r="F145" s="32"/>
      <c r="G145" s="32"/>
      <c r="H145" s="33"/>
      <c r="I145" s="33"/>
      <c r="J145" s="32"/>
      <c r="K145" s="33"/>
      <c r="L145" s="32"/>
      <c r="M145" s="34"/>
      <c r="N145" s="34"/>
      <c r="O145" s="35" t="str">
        <f aca="false">IF(OR(M145="",N145="",M145=0),"",N145/M145)</f>
        <v/>
      </c>
      <c r="P145" s="36"/>
      <c r="Q145" s="37"/>
      <c r="R145" s="38" t="str">
        <f aca="false">IF(Q145&lt;&gt;"",Q145,IF(AND(P145&lt;&gt;"",M145&lt;&gt;""),P145*12*M145,""))</f>
        <v/>
      </c>
      <c r="S145" s="32"/>
      <c r="T145" s="32"/>
      <c r="U145" s="39"/>
      <c r="V145" s="39"/>
      <c r="W145" s="34"/>
      <c r="X145" s="32"/>
      <c r="Y145" s="34"/>
      <c r="Z145" s="40" t="str">
        <f aca="false">IF(OR(V145="",Y145=""),"",V145-Y145)</f>
        <v/>
      </c>
      <c r="AA145" s="41" t="str">
        <f aca="true">IF(V145="","",V145-TODAY())</f>
        <v/>
      </c>
      <c r="AB145" s="42" t="str">
        <f aca="false">IF(V145="","",IF(AA145&lt;0,"Past due",IF(AA145&lt;=90,"0–90 days",IF(AA145&lt;=180,"91–180 days",IF(AA145&lt;=365,"181–365 days","Over a year")))))</f>
        <v/>
      </c>
      <c r="AC145" s="43"/>
      <c r="AD145" s="32"/>
      <c r="AE145" s="32"/>
      <c r="AF145" s="33"/>
      <c r="AG145" s="32"/>
      <c r="AH145" s="33"/>
      <c r="AI145" s="32"/>
      <c r="AJ145" s="33"/>
      <c r="AK145" s="32"/>
      <c r="AL145" s="32"/>
      <c r="AM145" s="33"/>
      <c r="AN145" s="31" t="str">
        <f aca="false">IF(B145="","",IFERROR(INDEX(Lookup!$B$2:$B$3000,MATCH(TRIM(B145),Lookup!$A$2:$A$3000,0)),""))</f>
        <v/>
      </c>
      <c r="AO145" s="42" t="str">
        <f aca="false">IF(B145="","",IF(AN145="","No – will be reviewed","Yes"))</f>
        <v/>
      </c>
      <c r="AP145" s="31" t="str">
        <f aca="false">IF(AN145="","",IFERROR(INDEX(Catalog!$B$5:$B$400,MATCH(AN145,Catalog!$A$5:$A$400,0)),""))</f>
        <v/>
      </c>
      <c r="AQ145" s="31" t="str">
        <f aca="false">IF(AN145="","",IFERROR(INDEX(Catalog!$C$5:$C$400,MATCH(AN145,Catalog!$A$5:$A$400,0)),""))</f>
        <v/>
      </c>
      <c r="AR145" s="31" t="str">
        <f aca="false">IF(AN145="","",IFERROR(INDEX(Catalog!$D$5:$D$400,MATCH(AN145,Catalog!$A$5:$A$400,0)),""))</f>
        <v/>
      </c>
      <c r="AS145" s="31" t="str">
        <f aca="false">IF(AN145="","",IFERROR(INDEX(Catalog!$E$5:$E$400,MATCH(AN145,Catalog!$A$5:$A$400,0)),""))</f>
        <v/>
      </c>
      <c r="AT145" s="44" t="str">
        <f aca="false">IF(AN145="","",IFERROR(INDEX(Catalog!$F$5:$F$400,MATCH(AN145,Catalog!$A$5:$A$400,0)),""))</f>
        <v/>
      </c>
      <c r="AU145" s="31" t="str">
        <f aca="false">IF(AND(B145&lt;&gt;"",ISNUMBER(V145)),V145+ROW()/100000,"")</f>
        <v/>
      </c>
    </row>
    <row r="146" customFormat="false" ht="15" hidden="false" customHeight="false" outlineLevel="0" collapsed="false">
      <c r="A146" s="31" t="str">
        <f aca="false">IF(B146="","",ROW()-5)</f>
        <v/>
      </c>
      <c r="B146" s="32"/>
      <c r="C146" s="32"/>
      <c r="D146" s="32"/>
      <c r="E146" s="32"/>
      <c r="F146" s="32"/>
      <c r="G146" s="32"/>
      <c r="H146" s="33"/>
      <c r="I146" s="33"/>
      <c r="J146" s="32"/>
      <c r="K146" s="33"/>
      <c r="L146" s="32"/>
      <c r="M146" s="34"/>
      <c r="N146" s="34"/>
      <c r="O146" s="35" t="str">
        <f aca="false">IF(OR(M146="",N146="",M146=0),"",N146/M146)</f>
        <v/>
      </c>
      <c r="P146" s="36"/>
      <c r="Q146" s="37"/>
      <c r="R146" s="38" t="str">
        <f aca="false">IF(Q146&lt;&gt;"",Q146,IF(AND(P146&lt;&gt;"",M146&lt;&gt;""),P146*12*M146,""))</f>
        <v/>
      </c>
      <c r="S146" s="32"/>
      <c r="T146" s="32"/>
      <c r="U146" s="39"/>
      <c r="V146" s="39"/>
      <c r="W146" s="34"/>
      <c r="X146" s="32"/>
      <c r="Y146" s="34"/>
      <c r="Z146" s="40" t="str">
        <f aca="false">IF(OR(V146="",Y146=""),"",V146-Y146)</f>
        <v/>
      </c>
      <c r="AA146" s="41" t="str">
        <f aca="true">IF(V146="","",V146-TODAY())</f>
        <v/>
      </c>
      <c r="AB146" s="42" t="str">
        <f aca="false">IF(V146="","",IF(AA146&lt;0,"Past due",IF(AA146&lt;=90,"0–90 days",IF(AA146&lt;=180,"91–180 days",IF(AA146&lt;=365,"181–365 days","Over a year")))))</f>
        <v/>
      </c>
      <c r="AC146" s="43"/>
      <c r="AD146" s="32"/>
      <c r="AE146" s="32"/>
      <c r="AF146" s="33"/>
      <c r="AG146" s="32"/>
      <c r="AH146" s="33"/>
      <c r="AI146" s="32"/>
      <c r="AJ146" s="33"/>
      <c r="AK146" s="32"/>
      <c r="AL146" s="32"/>
      <c r="AM146" s="33"/>
      <c r="AN146" s="31" t="str">
        <f aca="false">IF(B146="","",IFERROR(INDEX(Lookup!$B$2:$B$3000,MATCH(TRIM(B146),Lookup!$A$2:$A$3000,0)),""))</f>
        <v/>
      </c>
      <c r="AO146" s="42" t="str">
        <f aca="false">IF(B146="","",IF(AN146="","No – will be reviewed","Yes"))</f>
        <v/>
      </c>
      <c r="AP146" s="31" t="str">
        <f aca="false">IF(AN146="","",IFERROR(INDEX(Catalog!$B$5:$B$400,MATCH(AN146,Catalog!$A$5:$A$400,0)),""))</f>
        <v/>
      </c>
      <c r="AQ146" s="31" t="str">
        <f aca="false">IF(AN146="","",IFERROR(INDEX(Catalog!$C$5:$C$400,MATCH(AN146,Catalog!$A$5:$A$400,0)),""))</f>
        <v/>
      </c>
      <c r="AR146" s="31" t="str">
        <f aca="false">IF(AN146="","",IFERROR(INDEX(Catalog!$D$5:$D$400,MATCH(AN146,Catalog!$A$5:$A$400,0)),""))</f>
        <v/>
      </c>
      <c r="AS146" s="31" t="str">
        <f aca="false">IF(AN146="","",IFERROR(INDEX(Catalog!$E$5:$E$400,MATCH(AN146,Catalog!$A$5:$A$400,0)),""))</f>
        <v/>
      </c>
      <c r="AT146" s="44" t="str">
        <f aca="false">IF(AN146="","",IFERROR(INDEX(Catalog!$F$5:$F$400,MATCH(AN146,Catalog!$A$5:$A$400,0)),""))</f>
        <v/>
      </c>
      <c r="AU146" s="31" t="str">
        <f aca="false">IF(AND(B146&lt;&gt;"",ISNUMBER(V146)),V146+ROW()/100000,"")</f>
        <v/>
      </c>
    </row>
    <row r="147" customFormat="false" ht="15" hidden="false" customHeight="false" outlineLevel="0" collapsed="false">
      <c r="A147" s="31" t="str">
        <f aca="false">IF(B147="","",ROW()-5)</f>
        <v/>
      </c>
      <c r="B147" s="32"/>
      <c r="C147" s="32"/>
      <c r="D147" s="32"/>
      <c r="E147" s="32"/>
      <c r="F147" s="32"/>
      <c r="G147" s="32"/>
      <c r="H147" s="33"/>
      <c r="I147" s="33"/>
      <c r="J147" s="32"/>
      <c r="K147" s="33"/>
      <c r="L147" s="32"/>
      <c r="M147" s="34"/>
      <c r="N147" s="34"/>
      <c r="O147" s="35" t="str">
        <f aca="false">IF(OR(M147="",N147="",M147=0),"",N147/M147)</f>
        <v/>
      </c>
      <c r="P147" s="36"/>
      <c r="Q147" s="37"/>
      <c r="R147" s="38" t="str">
        <f aca="false">IF(Q147&lt;&gt;"",Q147,IF(AND(P147&lt;&gt;"",M147&lt;&gt;""),P147*12*M147,""))</f>
        <v/>
      </c>
      <c r="S147" s="32"/>
      <c r="T147" s="32"/>
      <c r="U147" s="39"/>
      <c r="V147" s="39"/>
      <c r="W147" s="34"/>
      <c r="X147" s="32"/>
      <c r="Y147" s="34"/>
      <c r="Z147" s="40" t="str">
        <f aca="false">IF(OR(V147="",Y147=""),"",V147-Y147)</f>
        <v/>
      </c>
      <c r="AA147" s="41" t="str">
        <f aca="true">IF(V147="","",V147-TODAY())</f>
        <v/>
      </c>
      <c r="AB147" s="42" t="str">
        <f aca="false">IF(V147="","",IF(AA147&lt;0,"Past due",IF(AA147&lt;=90,"0–90 days",IF(AA147&lt;=180,"91–180 days",IF(AA147&lt;=365,"181–365 days","Over a year")))))</f>
        <v/>
      </c>
      <c r="AC147" s="43"/>
      <c r="AD147" s="32"/>
      <c r="AE147" s="32"/>
      <c r="AF147" s="33"/>
      <c r="AG147" s="32"/>
      <c r="AH147" s="33"/>
      <c r="AI147" s="32"/>
      <c r="AJ147" s="33"/>
      <c r="AK147" s="32"/>
      <c r="AL147" s="32"/>
      <c r="AM147" s="33"/>
      <c r="AN147" s="31" t="str">
        <f aca="false">IF(B147="","",IFERROR(INDEX(Lookup!$B$2:$B$3000,MATCH(TRIM(B147),Lookup!$A$2:$A$3000,0)),""))</f>
        <v/>
      </c>
      <c r="AO147" s="42" t="str">
        <f aca="false">IF(B147="","",IF(AN147="","No – will be reviewed","Yes"))</f>
        <v/>
      </c>
      <c r="AP147" s="31" t="str">
        <f aca="false">IF(AN147="","",IFERROR(INDEX(Catalog!$B$5:$B$400,MATCH(AN147,Catalog!$A$5:$A$400,0)),""))</f>
        <v/>
      </c>
      <c r="AQ147" s="31" t="str">
        <f aca="false">IF(AN147="","",IFERROR(INDEX(Catalog!$C$5:$C$400,MATCH(AN147,Catalog!$A$5:$A$400,0)),""))</f>
        <v/>
      </c>
      <c r="AR147" s="31" t="str">
        <f aca="false">IF(AN147="","",IFERROR(INDEX(Catalog!$D$5:$D$400,MATCH(AN147,Catalog!$A$5:$A$400,0)),""))</f>
        <v/>
      </c>
      <c r="AS147" s="31" t="str">
        <f aca="false">IF(AN147="","",IFERROR(INDEX(Catalog!$E$5:$E$400,MATCH(AN147,Catalog!$A$5:$A$400,0)),""))</f>
        <v/>
      </c>
      <c r="AT147" s="44" t="str">
        <f aca="false">IF(AN147="","",IFERROR(INDEX(Catalog!$F$5:$F$400,MATCH(AN147,Catalog!$A$5:$A$400,0)),""))</f>
        <v/>
      </c>
      <c r="AU147" s="31" t="str">
        <f aca="false">IF(AND(B147&lt;&gt;"",ISNUMBER(V147)),V147+ROW()/100000,"")</f>
        <v/>
      </c>
    </row>
    <row r="148" customFormat="false" ht="15" hidden="false" customHeight="false" outlineLevel="0" collapsed="false">
      <c r="A148" s="31" t="str">
        <f aca="false">IF(B148="","",ROW()-5)</f>
        <v/>
      </c>
      <c r="B148" s="32"/>
      <c r="C148" s="32"/>
      <c r="D148" s="32"/>
      <c r="E148" s="32"/>
      <c r="F148" s="32"/>
      <c r="G148" s="32"/>
      <c r="H148" s="33"/>
      <c r="I148" s="33"/>
      <c r="J148" s="32"/>
      <c r="K148" s="33"/>
      <c r="L148" s="32"/>
      <c r="M148" s="34"/>
      <c r="N148" s="34"/>
      <c r="O148" s="35" t="str">
        <f aca="false">IF(OR(M148="",N148="",M148=0),"",N148/M148)</f>
        <v/>
      </c>
      <c r="P148" s="36"/>
      <c r="Q148" s="37"/>
      <c r="R148" s="38" t="str">
        <f aca="false">IF(Q148&lt;&gt;"",Q148,IF(AND(P148&lt;&gt;"",M148&lt;&gt;""),P148*12*M148,""))</f>
        <v/>
      </c>
      <c r="S148" s="32"/>
      <c r="T148" s="32"/>
      <c r="U148" s="39"/>
      <c r="V148" s="39"/>
      <c r="W148" s="34"/>
      <c r="X148" s="32"/>
      <c r="Y148" s="34"/>
      <c r="Z148" s="40" t="str">
        <f aca="false">IF(OR(V148="",Y148=""),"",V148-Y148)</f>
        <v/>
      </c>
      <c r="AA148" s="41" t="str">
        <f aca="true">IF(V148="","",V148-TODAY())</f>
        <v/>
      </c>
      <c r="AB148" s="42" t="str">
        <f aca="false">IF(V148="","",IF(AA148&lt;0,"Past due",IF(AA148&lt;=90,"0–90 days",IF(AA148&lt;=180,"91–180 days",IF(AA148&lt;=365,"181–365 days","Over a year")))))</f>
        <v/>
      </c>
      <c r="AC148" s="43"/>
      <c r="AD148" s="32"/>
      <c r="AE148" s="32"/>
      <c r="AF148" s="33"/>
      <c r="AG148" s="32"/>
      <c r="AH148" s="33"/>
      <c r="AI148" s="32"/>
      <c r="AJ148" s="33"/>
      <c r="AK148" s="32"/>
      <c r="AL148" s="32"/>
      <c r="AM148" s="33"/>
      <c r="AN148" s="31" t="str">
        <f aca="false">IF(B148="","",IFERROR(INDEX(Lookup!$B$2:$B$3000,MATCH(TRIM(B148),Lookup!$A$2:$A$3000,0)),""))</f>
        <v/>
      </c>
      <c r="AO148" s="42" t="str">
        <f aca="false">IF(B148="","",IF(AN148="","No – will be reviewed","Yes"))</f>
        <v/>
      </c>
      <c r="AP148" s="31" t="str">
        <f aca="false">IF(AN148="","",IFERROR(INDEX(Catalog!$B$5:$B$400,MATCH(AN148,Catalog!$A$5:$A$400,0)),""))</f>
        <v/>
      </c>
      <c r="AQ148" s="31" t="str">
        <f aca="false">IF(AN148="","",IFERROR(INDEX(Catalog!$C$5:$C$400,MATCH(AN148,Catalog!$A$5:$A$400,0)),""))</f>
        <v/>
      </c>
      <c r="AR148" s="31" t="str">
        <f aca="false">IF(AN148="","",IFERROR(INDEX(Catalog!$D$5:$D$400,MATCH(AN148,Catalog!$A$5:$A$400,0)),""))</f>
        <v/>
      </c>
      <c r="AS148" s="31" t="str">
        <f aca="false">IF(AN148="","",IFERROR(INDEX(Catalog!$E$5:$E$400,MATCH(AN148,Catalog!$A$5:$A$400,0)),""))</f>
        <v/>
      </c>
      <c r="AT148" s="44" t="str">
        <f aca="false">IF(AN148="","",IFERROR(INDEX(Catalog!$F$5:$F$400,MATCH(AN148,Catalog!$A$5:$A$400,0)),""))</f>
        <v/>
      </c>
      <c r="AU148" s="31" t="str">
        <f aca="false">IF(AND(B148&lt;&gt;"",ISNUMBER(V148)),V148+ROW()/100000,"")</f>
        <v/>
      </c>
    </row>
    <row r="149" customFormat="false" ht="15" hidden="false" customHeight="false" outlineLevel="0" collapsed="false">
      <c r="A149" s="31" t="str">
        <f aca="false">IF(B149="","",ROW()-5)</f>
        <v/>
      </c>
      <c r="B149" s="32"/>
      <c r="C149" s="32"/>
      <c r="D149" s="32"/>
      <c r="E149" s="32"/>
      <c r="F149" s="32"/>
      <c r="G149" s="32"/>
      <c r="H149" s="33"/>
      <c r="I149" s="33"/>
      <c r="J149" s="32"/>
      <c r="K149" s="33"/>
      <c r="L149" s="32"/>
      <c r="M149" s="34"/>
      <c r="N149" s="34"/>
      <c r="O149" s="35" t="str">
        <f aca="false">IF(OR(M149="",N149="",M149=0),"",N149/M149)</f>
        <v/>
      </c>
      <c r="P149" s="36"/>
      <c r="Q149" s="37"/>
      <c r="R149" s="38" t="str">
        <f aca="false">IF(Q149&lt;&gt;"",Q149,IF(AND(P149&lt;&gt;"",M149&lt;&gt;""),P149*12*M149,""))</f>
        <v/>
      </c>
      <c r="S149" s="32"/>
      <c r="T149" s="32"/>
      <c r="U149" s="39"/>
      <c r="V149" s="39"/>
      <c r="W149" s="34"/>
      <c r="X149" s="32"/>
      <c r="Y149" s="34"/>
      <c r="Z149" s="40" t="str">
        <f aca="false">IF(OR(V149="",Y149=""),"",V149-Y149)</f>
        <v/>
      </c>
      <c r="AA149" s="41" t="str">
        <f aca="true">IF(V149="","",V149-TODAY())</f>
        <v/>
      </c>
      <c r="AB149" s="42" t="str">
        <f aca="false">IF(V149="","",IF(AA149&lt;0,"Past due",IF(AA149&lt;=90,"0–90 days",IF(AA149&lt;=180,"91–180 days",IF(AA149&lt;=365,"181–365 days","Over a year")))))</f>
        <v/>
      </c>
      <c r="AC149" s="43"/>
      <c r="AD149" s="32"/>
      <c r="AE149" s="32"/>
      <c r="AF149" s="33"/>
      <c r="AG149" s="32"/>
      <c r="AH149" s="33"/>
      <c r="AI149" s="32"/>
      <c r="AJ149" s="33"/>
      <c r="AK149" s="32"/>
      <c r="AL149" s="32"/>
      <c r="AM149" s="33"/>
      <c r="AN149" s="31" t="str">
        <f aca="false">IF(B149="","",IFERROR(INDEX(Lookup!$B$2:$B$3000,MATCH(TRIM(B149),Lookup!$A$2:$A$3000,0)),""))</f>
        <v/>
      </c>
      <c r="AO149" s="42" t="str">
        <f aca="false">IF(B149="","",IF(AN149="","No – will be reviewed","Yes"))</f>
        <v/>
      </c>
      <c r="AP149" s="31" t="str">
        <f aca="false">IF(AN149="","",IFERROR(INDEX(Catalog!$B$5:$B$400,MATCH(AN149,Catalog!$A$5:$A$400,0)),""))</f>
        <v/>
      </c>
      <c r="AQ149" s="31" t="str">
        <f aca="false">IF(AN149="","",IFERROR(INDEX(Catalog!$C$5:$C$400,MATCH(AN149,Catalog!$A$5:$A$400,0)),""))</f>
        <v/>
      </c>
      <c r="AR149" s="31" t="str">
        <f aca="false">IF(AN149="","",IFERROR(INDEX(Catalog!$D$5:$D$400,MATCH(AN149,Catalog!$A$5:$A$400,0)),""))</f>
        <v/>
      </c>
      <c r="AS149" s="31" t="str">
        <f aca="false">IF(AN149="","",IFERROR(INDEX(Catalog!$E$5:$E$400,MATCH(AN149,Catalog!$A$5:$A$400,0)),""))</f>
        <v/>
      </c>
      <c r="AT149" s="44" t="str">
        <f aca="false">IF(AN149="","",IFERROR(INDEX(Catalog!$F$5:$F$400,MATCH(AN149,Catalog!$A$5:$A$400,0)),""))</f>
        <v/>
      </c>
      <c r="AU149" s="31" t="str">
        <f aca="false">IF(AND(B149&lt;&gt;"",ISNUMBER(V149)),V149+ROW()/100000,"")</f>
        <v/>
      </c>
    </row>
    <row r="150" customFormat="false" ht="15" hidden="false" customHeight="false" outlineLevel="0" collapsed="false">
      <c r="A150" s="31" t="str">
        <f aca="false">IF(B150="","",ROW()-5)</f>
        <v/>
      </c>
      <c r="B150" s="32"/>
      <c r="C150" s="32"/>
      <c r="D150" s="32"/>
      <c r="E150" s="32"/>
      <c r="F150" s="32"/>
      <c r="G150" s="32"/>
      <c r="H150" s="33"/>
      <c r="I150" s="33"/>
      <c r="J150" s="32"/>
      <c r="K150" s="33"/>
      <c r="L150" s="32"/>
      <c r="M150" s="34"/>
      <c r="N150" s="34"/>
      <c r="O150" s="35" t="str">
        <f aca="false">IF(OR(M150="",N150="",M150=0),"",N150/M150)</f>
        <v/>
      </c>
      <c r="P150" s="36"/>
      <c r="Q150" s="37"/>
      <c r="R150" s="38" t="str">
        <f aca="false">IF(Q150&lt;&gt;"",Q150,IF(AND(P150&lt;&gt;"",M150&lt;&gt;""),P150*12*M150,""))</f>
        <v/>
      </c>
      <c r="S150" s="32"/>
      <c r="T150" s="32"/>
      <c r="U150" s="39"/>
      <c r="V150" s="39"/>
      <c r="W150" s="34"/>
      <c r="X150" s="32"/>
      <c r="Y150" s="34"/>
      <c r="Z150" s="40" t="str">
        <f aca="false">IF(OR(V150="",Y150=""),"",V150-Y150)</f>
        <v/>
      </c>
      <c r="AA150" s="41" t="str">
        <f aca="true">IF(V150="","",V150-TODAY())</f>
        <v/>
      </c>
      <c r="AB150" s="42" t="str">
        <f aca="false">IF(V150="","",IF(AA150&lt;0,"Past due",IF(AA150&lt;=90,"0–90 days",IF(AA150&lt;=180,"91–180 days",IF(AA150&lt;=365,"181–365 days","Over a year")))))</f>
        <v/>
      </c>
      <c r="AC150" s="43"/>
      <c r="AD150" s="32"/>
      <c r="AE150" s="32"/>
      <c r="AF150" s="33"/>
      <c r="AG150" s="32"/>
      <c r="AH150" s="33"/>
      <c r="AI150" s="32"/>
      <c r="AJ150" s="33"/>
      <c r="AK150" s="32"/>
      <c r="AL150" s="32"/>
      <c r="AM150" s="33"/>
      <c r="AN150" s="31" t="str">
        <f aca="false">IF(B150="","",IFERROR(INDEX(Lookup!$B$2:$B$3000,MATCH(TRIM(B150),Lookup!$A$2:$A$3000,0)),""))</f>
        <v/>
      </c>
      <c r="AO150" s="42" t="str">
        <f aca="false">IF(B150="","",IF(AN150="","No – will be reviewed","Yes"))</f>
        <v/>
      </c>
      <c r="AP150" s="31" t="str">
        <f aca="false">IF(AN150="","",IFERROR(INDEX(Catalog!$B$5:$B$400,MATCH(AN150,Catalog!$A$5:$A$400,0)),""))</f>
        <v/>
      </c>
      <c r="AQ150" s="31" t="str">
        <f aca="false">IF(AN150="","",IFERROR(INDEX(Catalog!$C$5:$C$400,MATCH(AN150,Catalog!$A$5:$A$400,0)),""))</f>
        <v/>
      </c>
      <c r="AR150" s="31" t="str">
        <f aca="false">IF(AN150="","",IFERROR(INDEX(Catalog!$D$5:$D$400,MATCH(AN150,Catalog!$A$5:$A$400,0)),""))</f>
        <v/>
      </c>
      <c r="AS150" s="31" t="str">
        <f aca="false">IF(AN150="","",IFERROR(INDEX(Catalog!$E$5:$E$400,MATCH(AN150,Catalog!$A$5:$A$400,0)),""))</f>
        <v/>
      </c>
      <c r="AT150" s="44" t="str">
        <f aca="false">IF(AN150="","",IFERROR(INDEX(Catalog!$F$5:$F$400,MATCH(AN150,Catalog!$A$5:$A$400,0)),""))</f>
        <v/>
      </c>
      <c r="AU150" s="31" t="str">
        <f aca="false">IF(AND(B150&lt;&gt;"",ISNUMBER(V150)),V150+ROW()/100000,"")</f>
        <v/>
      </c>
    </row>
    <row r="151" customFormat="false" ht="15" hidden="false" customHeight="false" outlineLevel="0" collapsed="false">
      <c r="A151" s="31" t="str">
        <f aca="false">IF(B151="","",ROW()-5)</f>
        <v/>
      </c>
      <c r="B151" s="32"/>
      <c r="C151" s="32"/>
      <c r="D151" s="32"/>
      <c r="E151" s="32"/>
      <c r="F151" s="32"/>
      <c r="G151" s="32"/>
      <c r="H151" s="33"/>
      <c r="I151" s="33"/>
      <c r="J151" s="32"/>
      <c r="K151" s="33"/>
      <c r="L151" s="32"/>
      <c r="M151" s="34"/>
      <c r="N151" s="34"/>
      <c r="O151" s="35" t="str">
        <f aca="false">IF(OR(M151="",N151="",M151=0),"",N151/M151)</f>
        <v/>
      </c>
      <c r="P151" s="36"/>
      <c r="Q151" s="37"/>
      <c r="R151" s="38" t="str">
        <f aca="false">IF(Q151&lt;&gt;"",Q151,IF(AND(P151&lt;&gt;"",M151&lt;&gt;""),P151*12*M151,""))</f>
        <v/>
      </c>
      <c r="S151" s="32"/>
      <c r="T151" s="32"/>
      <c r="U151" s="39"/>
      <c r="V151" s="39"/>
      <c r="W151" s="34"/>
      <c r="X151" s="32"/>
      <c r="Y151" s="34"/>
      <c r="Z151" s="40" t="str">
        <f aca="false">IF(OR(V151="",Y151=""),"",V151-Y151)</f>
        <v/>
      </c>
      <c r="AA151" s="41" t="str">
        <f aca="true">IF(V151="","",V151-TODAY())</f>
        <v/>
      </c>
      <c r="AB151" s="42" t="str">
        <f aca="false">IF(V151="","",IF(AA151&lt;0,"Past due",IF(AA151&lt;=90,"0–90 days",IF(AA151&lt;=180,"91–180 days",IF(AA151&lt;=365,"181–365 days","Over a year")))))</f>
        <v/>
      </c>
      <c r="AC151" s="43"/>
      <c r="AD151" s="32"/>
      <c r="AE151" s="32"/>
      <c r="AF151" s="33"/>
      <c r="AG151" s="32"/>
      <c r="AH151" s="33"/>
      <c r="AI151" s="32"/>
      <c r="AJ151" s="33"/>
      <c r="AK151" s="32"/>
      <c r="AL151" s="32"/>
      <c r="AM151" s="33"/>
      <c r="AN151" s="31" t="str">
        <f aca="false">IF(B151="","",IFERROR(INDEX(Lookup!$B$2:$B$3000,MATCH(TRIM(B151),Lookup!$A$2:$A$3000,0)),""))</f>
        <v/>
      </c>
      <c r="AO151" s="42" t="str">
        <f aca="false">IF(B151="","",IF(AN151="","No – will be reviewed","Yes"))</f>
        <v/>
      </c>
      <c r="AP151" s="31" t="str">
        <f aca="false">IF(AN151="","",IFERROR(INDEX(Catalog!$B$5:$B$400,MATCH(AN151,Catalog!$A$5:$A$400,0)),""))</f>
        <v/>
      </c>
      <c r="AQ151" s="31" t="str">
        <f aca="false">IF(AN151="","",IFERROR(INDEX(Catalog!$C$5:$C$400,MATCH(AN151,Catalog!$A$5:$A$400,0)),""))</f>
        <v/>
      </c>
      <c r="AR151" s="31" t="str">
        <f aca="false">IF(AN151="","",IFERROR(INDEX(Catalog!$D$5:$D$400,MATCH(AN151,Catalog!$A$5:$A$400,0)),""))</f>
        <v/>
      </c>
      <c r="AS151" s="31" t="str">
        <f aca="false">IF(AN151="","",IFERROR(INDEX(Catalog!$E$5:$E$400,MATCH(AN151,Catalog!$A$5:$A$400,0)),""))</f>
        <v/>
      </c>
      <c r="AT151" s="44" t="str">
        <f aca="false">IF(AN151="","",IFERROR(INDEX(Catalog!$F$5:$F$400,MATCH(AN151,Catalog!$A$5:$A$400,0)),""))</f>
        <v/>
      </c>
      <c r="AU151" s="31" t="str">
        <f aca="false">IF(AND(B151&lt;&gt;"",ISNUMBER(V151)),V151+ROW()/100000,"")</f>
        <v/>
      </c>
    </row>
    <row r="152" customFormat="false" ht="15" hidden="false" customHeight="false" outlineLevel="0" collapsed="false">
      <c r="A152" s="31" t="str">
        <f aca="false">IF(B152="","",ROW()-5)</f>
        <v/>
      </c>
      <c r="B152" s="32"/>
      <c r="C152" s="32"/>
      <c r="D152" s="32"/>
      <c r="E152" s="32"/>
      <c r="F152" s="32"/>
      <c r="G152" s="32"/>
      <c r="H152" s="33"/>
      <c r="I152" s="33"/>
      <c r="J152" s="32"/>
      <c r="K152" s="33"/>
      <c r="L152" s="32"/>
      <c r="M152" s="34"/>
      <c r="N152" s="34"/>
      <c r="O152" s="35" t="str">
        <f aca="false">IF(OR(M152="",N152="",M152=0),"",N152/M152)</f>
        <v/>
      </c>
      <c r="P152" s="36"/>
      <c r="Q152" s="37"/>
      <c r="R152" s="38" t="str">
        <f aca="false">IF(Q152&lt;&gt;"",Q152,IF(AND(P152&lt;&gt;"",M152&lt;&gt;""),P152*12*M152,""))</f>
        <v/>
      </c>
      <c r="S152" s="32"/>
      <c r="T152" s="32"/>
      <c r="U152" s="39"/>
      <c r="V152" s="39"/>
      <c r="W152" s="34"/>
      <c r="X152" s="32"/>
      <c r="Y152" s="34"/>
      <c r="Z152" s="40" t="str">
        <f aca="false">IF(OR(V152="",Y152=""),"",V152-Y152)</f>
        <v/>
      </c>
      <c r="AA152" s="41" t="str">
        <f aca="true">IF(V152="","",V152-TODAY())</f>
        <v/>
      </c>
      <c r="AB152" s="42" t="str">
        <f aca="false">IF(V152="","",IF(AA152&lt;0,"Past due",IF(AA152&lt;=90,"0–90 days",IF(AA152&lt;=180,"91–180 days",IF(AA152&lt;=365,"181–365 days","Over a year")))))</f>
        <v/>
      </c>
      <c r="AC152" s="43"/>
      <c r="AD152" s="32"/>
      <c r="AE152" s="32"/>
      <c r="AF152" s="33"/>
      <c r="AG152" s="32"/>
      <c r="AH152" s="33"/>
      <c r="AI152" s="32"/>
      <c r="AJ152" s="33"/>
      <c r="AK152" s="32"/>
      <c r="AL152" s="32"/>
      <c r="AM152" s="33"/>
      <c r="AN152" s="31" t="str">
        <f aca="false">IF(B152="","",IFERROR(INDEX(Lookup!$B$2:$B$3000,MATCH(TRIM(B152),Lookup!$A$2:$A$3000,0)),""))</f>
        <v/>
      </c>
      <c r="AO152" s="42" t="str">
        <f aca="false">IF(B152="","",IF(AN152="","No – will be reviewed","Yes"))</f>
        <v/>
      </c>
      <c r="AP152" s="31" t="str">
        <f aca="false">IF(AN152="","",IFERROR(INDEX(Catalog!$B$5:$B$400,MATCH(AN152,Catalog!$A$5:$A$400,0)),""))</f>
        <v/>
      </c>
      <c r="AQ152" s="31" t="str">
        <f aca="false">IF(AN152="","",IFERROR(INDEX(Catalog!$C$5:$C$400,MATCH(AN152,Catalog!$A$5:$A$400,0)),""))</f>
        <v/>
      </c>
      <c r="AR152" s="31" t="str">
        <f aca="false">IF(AN152="","",IFERROR(INDEX(Catalog!$D$5:$D$400,MATCH(AN152,Catalog!$A$5:$A$400,0)),""))</f>
        <v/>
      </c>
      <c r="AS152" s="31" t="str">
        <f aca="false">IF(AN152="","",IFERROR(INDEX(Catalog!$E$5:$E$400,MATCH(AN152,Catalog!$A$5:$A$400,0)),""))</f>
        <v/>
      </c>
      <c r="AT152" s="44" t="str">
        <f aca="false">IF(AN152="","",IFERROR(INDEX(Catalog!$F$5:$F$400,MATCH(AN152,Catalog!$A$5:$A$400,0)),""))</f>
        <v/>
      </c>
      <c r="AU152" s="31" t="str">
        <f aca="false">IF(AND(B152&lt;&gt;"",ISNUMBER(V152)),V152+ROW()/100000,"")</f>
        <v/>
      </c>
    </row>
    <row r="153" customFormat="false" ht="15" hidden="false" customHeight="false" outlineLevel="0" collapsed="false">
      <c r="A153" s="31" t="str">
        <f aca="false">IF(B153="","",ROW()-5)</f>
        <v/>
      </c>
      <c r="B153" s="32"/>
      <c r="C153" s="32"/>
      <c r="D153" s="32"/>
      <c r="E153" s="32"/>
      <c r="F153" s="32"/>
      <c r="G153" s="32"/>
      <c r="H153" s="33"/>
      <c r="I153" s="33"/>
      <c r="J153" s="32"/>
      <c r="K153" s="33"/>
      <c r="L153" s="32"/>
      <c r="M153" s="34"/>
      <c r="N153" s="34"/>
      <c r="O153" s="35" t="str">
        <f aca="false">IF(OR(M153="",N153="",M153=0),"",N153/M153)</f>
        <v/>
      </c>
      <c r="P153" s="36"/>
      <c r="Q153" s="37"/>
      <c r="R153" s="38" t="str">
        <f aca="false">IF(Q153&lt;&gt;"",Q153,IF(AND(P153&lt;&gt;"",M153&lt;&gt;""),P153*12*M153,""))</f>
        <v/>
      </c>
      <c r="S153" s="32"/>
      <c r="T153" s="32"/>
      <c r="U153" s="39"/>
      <c r="V153" s="39"/>
      <c r="W153" s="34"/>
      <c r="X153" s="32"/>
      <c r="Y153" s="34"/>
      <c r="Z153" s="40" t="str">
        <f aca="false">IF(OR(V153="",Y153=""),"",V153-Y153)</f>
        <v/>
      </c>
      <c r="AA153" s="41" t="str">
        <f aca="true">IF(V153="","",V153-TODAY())</f>
        <v/>
      </c>
      <c r="AB153" s="42" t="str">
        <f aca="false">IF(V153="","",IF(AA153&lt;0,"Past due",IF(AA153&lt;=90,"0–90 days",IF(AA153&lt;=180,"91–180 days",IF(AA153&lt;=365,"181–365 days","Over a year")))))</f>
        <v/>
      </c>
      <c r="AC153" s="43"/>
      <c r="AD153" s="32"/>
      <c r="AE153" s="32"/>
      <c r="AF153" s="33"/>
      <c r="AG153" s="32"/>
      <c r="AH153" s="33"/>
      <c r="AI153" s="32"/>
      <c r="AJ153" s="33"/>
      <c r="AK153" s="32"/>
      <c r="AL153" s="32"/>
      <c r="AM153" s="33"/>
      <c r="AN153" s="31" t="str">
        <f aca="false">IF(B153="","",IFERROR(INDEX(Lookup!$B$2:$B$3000,MATCH(TRIM(B153),Lookup!$A$2:$A$3000,0)),""))</f>
        <v/>
      </c>
      <c r="AO153" s="42" t="str">
        <f aca="false">IF(B153="","",IF(AN153="","No – will be reviewed","Yes"))</f>
        <v/>
      </c>
      <c r="AP153" s="31" t="str">
        <f aca="false">IF(AN153="","",IFERROR(INDEX(Catalog!$B$5:$B$400,MATCH(AN153,Catalog!$A$5:$A$400,0)),""))</f>
        <v/>
      </c>
      <c r="AQ153" s="31" t="str">
        <f aca="false">IF(AN153="","",IFERROR(INDEX(Catalog!$C$5:$C$400,MATCH(AN153,Catalog!$A$5:$A$400,0)),""))</f>
        <v/>
      </c>
      <c r="AR153" s="31" t="str">
        <f aca="false">IF(AN153="","",IFERROR(INDEX(Catalog!$D$5:$D$400,MATCH(AN153,Catalog!$A$5:$A$400,0)),""))</f>
        <v/>
      </c>
      <c r="AS153" s="31" t="str">
        <f aca="false">IF(AN153="","",IFERROR(INDEX(Catalog!$E$5:$E$400,MATCH(AN153,Catalog!$A$5:$A$400,0)),""))</f>
        <v/>
      </c>
      <c r="AT153" s="44" t="str">
        <f aca="false">IF(AN153="","",IFERROR(INDEX(Catalog!$F$5:$F$400,MATCH(AN153,Catalog!$A$5:$A$400,0)),""))</f>
        <v/>
      </c>
      <c r="AU153" s="31" t="str">
        <f aca="false">IF(AND(B153&lt;&gt;"",ISNUMBER(V153)),V153+ROW()/100000,"")</f>
        <v/>
      </c>
    </row>
    <row r="154" customFormat="false" ht="15" hidden="false" customHeight="false" outlineLevel="0" collapsed="false">
      <c r="A154" s="31" t="str">
        <f aca="false">IF(B154="","",ROW()-5)</f>
        <v/>
      </c>
      <c r="B154" s="32"/>
      <c r="C154" s="32"/>
      <c r="D154" s="32"/>
      <c r="E154" s="32"/>
      <c r="F154" s="32"/>
      <c r="G154" s="32"/>
      <c r="H154" s="33"/>
      <c r="I154" s="33"/>
      <c r="J154" s="32"/>
      <c r="K154" s="33"/>
      <c r="L154" s="32"/>
      <c r="M154" s="34"/>
      <c r="N154" s="34"/>
      <c r="O154" s="35" t="str">
        <f aca="false">IF(OR(M154="",N154="",M154=0),"",N154/M154)</f>
        <v/>
      </c>
      <c r="P154" s="36"/>
      <c r="Q154" s="37"/>
      <c r="R154" s="38" t="str">
        <f aca="false">IF(Q154&lt;&gt;"",Q154,IF(AND(P154&lt;&gt;"",M154&lt;&gt;""),P154*12*M154,""))</f>
        <v/>
      </c>
      <c r="S154" s="32"/>
      <c r="T154" s="32"/>
      <c r="U154" s="39"/>
      <c r="V154" s="39"/>
      <c r="W154" s="34"/>
      <c r="X154" s="32"/>
      <c r="Y154" s="34"/>
      <c r="Z154" s="40" t="str">
        <f aca="false">IF(OR(V154="",Y154=""),"",V154-Y154)</f>
        <v/>
      </c>
      <c r="AA154" s="41" t="str">
        <f aca="true">IF(V154="","",V154-TODAY())</f>
        <v/>
      </c>
      <c r="AB154" s="42" t="str">
        <f aca="false">IF(V154="","",IF(AA154&lt;0,"Past due",IF(AA154&lt;=90,"0–90 days",IF(AA154&lt;=180,"91–180 days",IF(AA154&lt;=365,"181–365 days","Over a year")))))</f>
        <v/>
      </c>
      <c r="AC154" s="43"/>
      <c r="AD154" s="32"/>
      <c r="AE154" s="32"/>
      <c r="AF154" s="33"/>
      <c r="AG154" s="32"/>
      <c r="AH154" s="33"/>
      <c r="AI154" s="32"/>
      <c r="AJ154" s="33"/>
      <c r="AK154" s="32"/>
      <c r="AL154" s="32"/>
      <c r="AM154" s="33"/>
      <c r="AN154" s="31" t="str">
        <f aca="false">IF(B154="","",IFERROR(INDEX(Lookup!$B$2:$B$3000,MATCH(TRIM(B154),Lookup!$A$2:$A$3000,0)),""))</f>
        <v/>
      </c>
      <c r="AO154" s="42" t="str">
        <f aca="false">IF(B154="","",IF(AN154="","No – will be reviewed","Yes"))</f>
        <v/>
      </c>
      <c r="AP154" s="31" t="str">
        <f aca="false">IF(AN154="","",IFERROR(INDEX(Catalog!$B$5:$B$400,MATCH(AN154,Catalog!$A$5:$A$400,0)),""))</f>
        <v/>
      </c>
      <c r="AQ154" s="31" t="str">
        <f aca="false">IF(AN154="","",IFERROR(INDEX(Catalog!$C$5:$C$400,MATCH(AN154,Catalog!$A$5:$A$400,0)),""))</f>
        <v/>
      </c>
      <c r="AR154" s="31" t="str">
        <f aca="false">IF(AN154="","",IFERROR(INDEX(Catalog!$D$5:$D$400,MATCH(AN154,Catalog!$A$5:$A$400,0)),""))</f>
        <v/>
      </c>
      <c r="AS154" s="31" t="str">
        <f aca="false">IF(AN154="","",IFERROR(INDEX(Catalog!$E$5:$E$400,MATCH(AN154,Catalog!$A$5:$A$400,0)),""))</f>
        <v/>
      </c>
      <c r="AT154" s="44" t="str">
        <f aca="false">IF(AN154="","",IFERROR(INDEX(Catalog!$F$5:$F$400,MATCH(AN154,Catalog!$A$5:$A$400,0)),""))</f>
        <v/>
      </c>
      <c r="AU154" s="31" t="str">
        <f aca="false">IF(AND(B154&lt;&gt;"",ISNUMBER(V154)),V154+ROW()/100000,"")</f>
        <v/>
      </c>
    </row>
    <row r="155" customFormat="false" ht="15" hidden="false" customHeight="false" outlineLevel="0" collapsed="false">
      <c r="A155" s="31" t="str">
        <f aca="false">IF(B155="","",ROW()-5)</f>
        <v/>
      </c>
      <c r="B155" s="32"/>
      <c r="C155" s="32"/>
      <c r="D155" s="32"/>
      <c r="E155" s="32"/>
      <c r="F155" s="32"/>
      <c r="G155" s="32"/>
      <c r="H155" s="33"/>
      <c r="I155" s="33"/>
      <c r="J155" s="32"/>
      <c r="K155" s="33"/>
      <c r="L155" s="32"/>
      <c r="M155" s="34"/>
      <c r="N155" s="34"/>
      <c r="O155" s="35" t="str">
        <f aca="false">IF(OR(M155="",N155="",M155=0),"",N155/M155)</f>
        <v/>
      </c>
      <c r="P155" s="36"/>
      <c r="Q155" s="37"/>
      <c r="R155" s="38" t="str">
        <f aca="false">IF(Q155&lt;&gt;"",Q155,IF(AND(P155&lt;&gt;"",M155&lt;&gt;""),P155*12*M155,""))</f>
        <v/>
      </c>
      <c r="S155" s="32"/>
      <c r="T155" s="32"/>
      <c r="U155" s="39"/>
      <c r="V155" s="39"/>
      <c r="W155" s="34"/>
      <c r="X155" s="32"/>
      <c r="Y155" s="34"/>
      <c r="Z155" s="40" t="str">
        <f aca="false">IF(OR(V155="",Y155=""),"",V155-Y155)</f>
        <v/>
      </c>
      <c r="AA155" s="41" t="str">
        <f aca="true">IF(V155="","",V155-TODAY())</f>
        <v/>
      </c>
      <c r="AB155" s="42" t="str">
        <f aca="false">IF(V155="","",IF(AA155&lt;0,"Past due",IF(AA155&lt;=90,"0–90 days",IF(AA155&lt;=180,"91–180 days",IF(AA155&lt;=365,"181–365 days","Over a year")))))</f>
        <v/>
      </c>
      <c r="AC155" s="43"/>
      <c r="AD155" s="32"/>
      <c r="AE155" s="32"/>
      <c r="AF155" s="33"/>
      <c r="AG155" s="32"/>
      <c r="AH155" s="33"/>
      <c r="AI155" s="32"/>
      <c r="AJ155" s="33"/>
      <c r="AK155" s="32"/>
      <c r="AL155" s="32"/>
      <c r="AM155" s="33"/>
      <c r="AN155" s="31" t="str">
        <f aca="false">IF(B155="","",IFERROR(INDEX(Lookup!$B$2:$B$3000,MATCH(TRIM(B155),Lookup!$A$2:$A$3000,0)),""))</f>
        <v/>
      </c>
      <c r="AO155" s="42" t="str">
        <f aca="false">IF(B155="","",IF(AN155="","No – will be reviewed","Yes"))</f>
        <v/>
      </c>
      <c r="AP155" s="31" t="str">
        <f aca="false">IF(AN155="","",IFERROR(INDEX(Catalog!$B$5:$B$400,MATCH(AN155,Catalog!$A$5:$A$400,0)),""))</f>
        <v/>
      </c>
      <c r="AQ155" s="31" t="str">
        <f aca="false">IF(AN155="","",IFERROR(INDEX(Catalog!$C$5:$C$400,MATCH(AN155,Catalog!$A$5:$A$400,0)),""))</f>
        <v/>
      </c>
      <c r="AR155" s="31" t="str">
        <f aca="false">IF(AN155="","",IFERROR(INDEX(Catalog!$D$5:$D$400,MATCH(AN155,Catalog!$A$5:$A$400,0)),""))</f>
        <v/>
      </c>
      <c r="AS155" s="31" t="str">
        <f aca="false">IF(AN155="","",IFERROR(INDEX(Catalog!$E$5:$E$400,MATCH(AN155,Catalog!$A$5:$A$400,0)),""))</f>
        <v/>
      </c>
      <c r="AT155" s="44" t="str">
        <f aca="false">IF(AN155="","",IFERROR(INDEX(Catalog!$F$5:$F$400,MATCH(AN155,Catalog!$A$5:$A$400,0)),""))</f>
        <v/>
      </c>
      <c r="AU155" s="31" t="str">
        <f aca="false">IF(AND(B155&lt;&gt;"",ISNUMBER(V155)),V155+ROW()/100000,"")</f>
        <v/>
      </c>
    </row>
    <row r="156" customFormat="false" ht="15" hidden="false" customHeight="false" outlineLevel="0" collapsed="false">
      <c r="A156" s="31" t="str">
        <f aca="false">IF(B156="","",ROW()-5)</f>
        <v/>
      </c>
      <c r="B156" s="32"/>
      <c r="C156" s="32"/>
      <c r="D156" s="32"/>
      <c r="E156" s="32"/>
      <c r="F156" s="32"/>
      <c r="G156" s="32"/>
      <c r="H156" s="33"/>
      <c r="I156" s="33"/>
      <c r="J156" s="32"/>
      <c r="K156" s="33"/>
      <c r="L156" s="32"/>
      <c r="M156" s="34"/>
      <c r="N156" s="34"/>
      <c r="O156" s="35" t="str">
        <f aca="false">IF(OR(M156="",N156="",M156=0),"",N156/M156)</f>
        <v/>
      </c>
      <c r="P156" s="36"/>
      <c r="Q156" s="37"/>
      <c r="R156" s="38" t="str">
        <f aca="false">IF(Q156&lt;&gt;"",Q156,IF(AND(P156&lt;&gt;"",M156&lt;&gt;""),P156*12*M156,""))</f>
        <v/>
      </c>
      <c r="S156" s="32"/>
      <c r="T156" s="32"/>
      <c r="U156" s="39"/>
      <c r="V156" s="39"/>
      <c r="W156" s="34"/>
      <c r="X156" s="32"/>
      <c r="Y156" s="34"/>
      <c r="Z156" s="40" t="str">
        <f aca="false">IF(OR(V156="",Y156=""),"",V156-Y156)</f>
        <v/>
      </c>
      <c r="AA156" s="41" t="str">
        <f aca="true">IF(V156="","",V156-TODAY())</f>
        <v/>
      </c>
      <c r="AB156" s="42" t="str">
        <f aca="false">IF(V156="","",IF(AA156&lt;0,"Past due",IF(AA156&lt;=90,"0–90 days",IF(AA156&lt;=180,"91–180 days",IF(AA156&lt;=365,"181–365 days","Over a year")))))</f>
        <v/>
      </c>
      <c r="AC156" s="43"/>
      <c r="AD156" s="32"/>
      <c r="AE156" s="32"/>
      <c r="AF156" s="33"/>
      <c r="AG156" s="32"/>
      <c r="AH156" s="33"/>
      <c r="AI156" s="32"/>
      <c r="AJ156" s="33"/>
      <c r="AK156" s="32"/>
      <c r="AL156" s="32"/>
      <c r="AM156" s="33"/>
      <c r="AN156" s="31" t="str">
        <f aca="false">IF(B156="","",IFERROR(INDEX(Lookup!$B$2:$B$3000,MATCH(TRIM(B156),Lookup!$A$2:$A$3000,0)),""))</f>
        <v/>
      </c>
      <c r="AO156" s="42" t="str">
        <f aca="false">IF(B156="","",IF(AN156="","No – will be reviewed","Yes"))</f>
        <v/>
      </c>
      <c r="AP156" s="31" t="str">
        <f aca="false">IF(AN156="","",IFERROR(INDEX(Catalog!$B$5:$B$400,MATCH(AN156,Catalog!$A$5:$A$400,0)),""))</f>
        <v/>
      </c>
      <c r="AQ156" s="31" t="str">
        <f aca="false">IF(AN156="","",IFERROR(INDEX(Catalog!$C$5:$C$400,MATCH(AN156,Catalog!$A$5:$A$400,0)),""))</f>
        <v/>
      </c>
      <c r="AR156" s="31" t="str">
        <f aca="false">IF(AN156="","",IFERROR(INDEX(Catalog!$D$5:$D$400,MATCH(AN156,Catalog!$A$5:$A$400,0)),""))</f>
        <v/>
      </c>
      <c r="AS156" s="31" t="str">
        <f aca="false">IF(AN156="","",IFERROR(INDEX(Catalog!$E$5:$E$400,MATCH(AN156,Catalog!$A$5:$A$400,0)),""))</f>
        <v/>
      </c>
      <c r="AT156" s="44" t="str">
        <f aca="false">IF(AN156="","",IFERROR(INDEX(Catalog!$F$5:$F$400,MATCH(AN156,Catalog!$A$5:$A$400,0)),""))</f>
        <v/>
      </c>
      <c r="AU156" s="31" t="str">
        <f aca="false">IF(AND(B156&lt;&gt;"",ISNUMBER(V156)),V156+ROW()/100000,"")</f>
        <v/>
      </c>
    </row>
    <row r="157" customFormat="false" ht="15" hidden="false" customHeight="false" outlineLevel="0" collapsed="false">
      <c r="A157" s="31" t="str">
        <f aca="false">IF(B157="","",ROW()-5)</f>
        <v/>
      </c>
      <c r="B157" s="32"/>
      <c r="C157" s="32"/>
      <c r="D157" s="32"/>
      <c r="E157" s="32"/>
      <c r="F157" s="32"/>
      <c r="G157" s="32"/>
      <c r="H157" s="33"/>
      <c r="I157" s="33"/>
      <c r="J157" s="32"/>
      <c r="K157" s="33"/>
      <c r="L157" s="32"/>
      <c r="M157" s="34"/>
      <c r="N157" s="34"/>
      <c r="O157" s="35" t="str">
        <f aca="false">IF(OR(M157="",N157="",M157=0),"",N157/M157)</f>
        <v/>
      </c>
      <c r="P157" s="36"/>
      <c r="Q157" s="37"/>
      <c r="R157" s="38" t="str">
        <f aca="false">IF(Q157&lt;&gt;"",Q157,IF(AND(P157&lt;&gt;"",M157&lt;&gt;""),P157*12*M157,""))</f>
        <v/>
      </c>
      <c r="S157" s="32"/>
      <c r="T157" s="32"/>
      <c r="U157" s="39"/>
      <c r="V157" s="39"/>
      <c r="W157" s="34"/>
      <c r="X157" s="32"/>
      <c r="Y157" s="34"/>
      <c r="Z157" s="40" t="str">
        <f aca="false">IF(OR(V157="",Y157=""),"",V157-Y157)</f>
        <v/>
      </c>
      <c r="AA157" s="41" t="str">
        <f aca="true">IF(V157="","",V157-TODAY())</f>
        <v/>
      </c>
      <c r="AB157" s="42" t="str">
        <f aca="false">IF(V157="","",IF(AA157&lt;0,"Past due",IF(AA157&lt;=90,"0–90 days",IF(AA157&lt;=180,"91–180 days",IF(AA157&lt;=365,"181–365 days","Over a year")))))</f>
        <v/>
      </c>
      <c r="AC157" s="43"/>
      <c r="AD157" s="32"/>
      <c r="AE157" s="32"/>
      <c r="AF157" s="33"/>
      <c r="AG157" s="32"/>
      <c r="AH157" s="33"/>
      <c r="AI157" s="32"/>
      <c r="AJ157" s="33"/>
      <c r="AK157" s="32"/>
      <c r="AL157" s="32"/>
      <c r="AM157" s="33"/>
      <c r="AN157" s="31" t="str">
        <f aca="false">IF(B157="","",IFERROR(INDEX(Lookup!$B$2:$B$3000,MATCH(TRIM(B157),Lookup!$A$2:$A$3000,0)),""))</f>
        <v/>
      </c>
      <c r="AO157" s="42" t="str">
        <f aca="false">IF(B157="","",IF(AN157="","No – will be reviewed","Yes"))</f>
        <v/>
      </c>
      <c r="AP157" s="31" t="str">
        <f aca="false">IF(AN157="","",IFERROR(INDEX(Catalog!$B$5:$B$400,MATCH(AN157,Catalog!$A$5:$A$400,0)),""))</f>
        <v/>
      </c>
      <c r="AQ157" s="31" t="str">
        <f aca="false">IF(AN157="","",IFERROR(INDEX(Catalog!$C$5:$C$400,MATCH(AN157,Catalog!$A$5:$A$400,0)),""))</f>
        <v/>
      </c>
      <c r="AR157" s="31" t="str">
        <f aca="false">IF(AN157="","",IFERROR(INDEX(Catalog!$D$5:$D$400,MATCH(AN157,Catalog!$A$5:$A$400,0)),""))</f>
        <v/>
      </c>
      <c r="AS157" s="31" t="str">
        <f aca="false">IF(AN157="","",IFERROR(INDEX(Catalog!$E$5:$E$400,MATCH(AN157,Catalog!$A$5:$A$400,0)),""))</f>
        <v/>
      </c>
      <c r="AT157" s="44" t="str">
        <f aca="false">IF(AN157="","",IFERROR(INDEX(Catalog!$F$5:$F$400,MATCH(AN157,Catalog!$A$5:$A$400,0)),""))</f>
        <v/>
      </c>
      <c r="AU157" s="31" t="str">
        <f aca="false">IF(AND(B157&lt;&gt;"",ISNUMBER(V157)),V157+ROW()/100000,"")</f>
        <v/>
      </c>
    </row>
    <row r="158" customFormat="false" ht="15" hidden="false" customHeight="false" outlineLevel="0" collapsed="false">
      <c r="A158" s="31" t="str">
        <f aca="false">IF(B158="","",ROW()-5)</f>
        <v/>
      </c>
      <c r="B158" s="32"/>
      <c r="C158" s="32"/>
      <c r="D158" s="32"/>
      <c r="E158" s="32"/>
      <c r="F158" s="32"/>
      <c r="G158" s="32"/>
      <c r="H158" s="33"/>
      <c r="I158" s="33"/>
      <c r="J158" s="32"/>
      <c r="K158" s="33"/>
      <c r="L158" s="32"/>
      <c r="M158" s="34"/>
      <c r="N158" s="34"/>
      <c r="O158" s="35" t="str">
        <f aca="false">IF(OR(M158="",N158="",M158=0),"",N158/M158)</f>
        <v/>
      </c>
      <c r="P158" s="36"/>
      <c r="Q158" s="37"/>
      <c r="R158" s="38" t="str">
        <f aca="false">IF(Q158&lt;&gt;"",Q158,IF(AND(P158&lt;&gt;"",M158&lt;&gt;""),P158*12*M158,""))</f>
        <v/>
      </c>
      <c r="S158" s="32"/>
      <c r="T158" s="32"/>
      <c r="U158" s="39"/>
      <c r="V158" s="39"/>
      <c r="W158" s="34"/>
      <c r="X158" s="32"/>
      <c r="Y158" s="34"/>
      <c r="Z158" s="40" t="str">
        <f aca="false">IF(OR(V158="",Y158=""),"",V158-Y158)</f>
        <v/>
      </c>
      <c r="AA158" s="41" t="str">
        <f aca="true">IF(V158="","",V158-TODAY())</f>
        <v/>
      </c>
      <c r="AB158" s="42" t="str">
        <f aca="false">IF(V158="","",IF(AA158&lt;0,"Past due",IF(AA158&lt;=90,"0–90 days",IF(AA158&lt;=180,"91–180 days",IF(AA158&lt;=365,"181–365 days","Over a year")))))</f>
        <v/>
      </c>
      <c r="AC158" s="43"/>
      <c r="AD158" s="32"/>
      <c r="AE158" s="32"/>
      <c r="AF158" s="33"/>
      <c r="AG158" s="32"/>
      <c r="AH158" s="33"/>
      <c r="AI158" s="32"/>
      <c r="AJ158" s="33"/>
      <c r="AK158" s="32"/>
      <c r="AL158" s="32"/>
      <c r="AM158" s="33"/>
      <c r="AN158" s="31" t="str">
        <f aca="false">IF(B158="","",IFERROR(INDEX(Lookup!$B$2:$B$3000,MATCH(TRIM(B158),Lookup!$A$2:$A$3000,0)),""))</f>
        <v/>
      </c>
      <c r="AO158" s="42" t="str">
        <f aca="false">IF(B158="","",IF(AN158="","No – will be reviewed","Yes"))</f>
        <v/>
      </c>
      <c r="AP158" s="31" t="str">
        <f aca="false">IF(AN158="","",IFERROR(INDEX(Catalog!$B$5:$B$400,MATCH(AN158,Catalog!$A$5:$A$400,0)),""))</f>
        <v/>
      </c>
      <c r="AQ158" s="31" t="str">
        <f aca="false">IF(AN158="","",IFERROR(INDEX(Catalog!$C$5:$C$400,MATCH(AN158,Catalog!$A$5:$A$400,0)),""))</f>
        <v/>
      </c>
      <c r="AR158" s="31" t="str">
        <f aca="false">IF(AN158="","",IFERROR(INDEX(Catalog!$D$5:$D$400,MATCH(AN158,Catalog!$A$5:$A$400,0)),""))</f>
        <v/>
      </c>
      <c r="AS158" s="31" t="str">
        <f aca="false">IF(AN158="","",IFERROR(INDEX(Catalog!$E$5:$E$400,MATCH(AN158,Catalog!$A$5:$A$400,0)),""))</f>
        <v/>
      </c>
      <c r="AT158" s="44" t="str">
        <f aca="false">IF(AN158="","",IFERROR(INDEX(Catalog!$F$5:$F$400,MATCH(AN158,Catalog!$A$5:$A$400,0)),""))</f>
        <v/>
      </c>
      <c r="AU158" s="31" t="str">
        <f aca="false">IF(AND(B158&lt;&gt;"",ISNUMBER(V158)),V158+ROW()/100000,"")</f>
        <v/>
      </c>
    </row>
    <row r="159" customFormat="false" ht="15" hidden="false" customHeight="false" outlineLevel="0" collapsed="false">
      <c r="A159" s="31" t="str">
        <f aca="false">IF(B159="","",ROW()-5)</f>
        <v/>
      </c>
      <c r="B159" s="32"/>
      <c r="C159" s="32"/>
      <c r="D159" s="32"/>
      <c r="E159" s="32"/>
      <c r="F159" s="32"/>
      <c r="G159" s="32"/>
      <c r="H159" s="33"/>
      <c r="I159" s="33"/>
      <c r="J159" s="32"/>
      <c r="K159" s="33"/>
      <c r="L159" s="32"/>
      <c r="M159" s="34"/>
      <c r="N159" s="34"/>
      <c r="O159" s="35" t="str">
        <f aca="false">IF(OR(M159="",N159="",M159=0),"",N159/M159)</f>
        <v/>
      </c>
      <c r="P159" s="36"/>
      <c r="Q159" s="37"/>
      <c r="R159" s="38" t="str">
        <f aca="false">IF(Q159&lt;&gt;"",Q159,IF(AND(P159&lt;&gt;"",M159&lt;&gt;""),P159*12*M159,""))</f>
        <v/>
      </c>
      <c r="S159" s="32"/>
      <c r="T159" s="32"/>
      <c r="U159" s="39"/>
      <c r="V159" s="39"/>
      <c r="W159" s="34"/>
      <c r="X159" s="32"/>
      <c r="Y159" s="34"/>
      <c r="Z159" s="40" t="str">
        <f aca="false">IF(OR(V159="",Y159=""),"",V159-Y159)</f>
        <v/>
      </c>
      <c r="AA159" s="41" t="str">
        <f aca="true">IF(V159="","",V159-TODAY())</f>
        <v/>
      </c>
      <c r="AB159" s="42" t="str">
        <f aca="false">IF(V159="","",IF(AA159&lt;0,"Past due",IF(AA159&lt;=90,"0–90 days",IF(AA159&lt;=180,"91–180 days",IF(AA159&lt;=365,"181–365 days","Over a year")))))</f>
        <v/>
      </c>
      <c r="AC159" s="43"/>
      <c r="AD159" s="32"/>
      <c r="AE159" s="32"/>
      <c r="AF159" s="33"/>
      <c r="AG159" s="32"/>
      <c r="AH159" s="33"/>
      <c r="AI159" s="32"/>
      <c r="AJ159" s="33"/>
      <c r="AK159" s="32"/>
      <c r="AL159" s="32"/>
      <c r="AM159" s="33"/>
      <c r="AN159" s="31" t="str">
        <f aca="false">IF(B159="","",IFERROR(INDEX(Lookup!$B$2:$B$3000,MATCH(TRIM(B159),Lookup!$A$2:$A$3000,0)),""))</f>
        <v/>
      </c>
      <c r="AO159" s="42" t="str">
        <f aca="false">IF(B159="","",IF(AN159="","No – will be reviewed","Yes"))</f>
        <v/>
      </c>
      <c r="AP159" s="31" t="str">
        <f aca="false">IF(AN159="","",IFERROR(INDEX(Catalog!$B$5:$B$400,MATCH(AN159,Catalog!$A$5:$A$400,0)),""))</f>
        <v/>
      </c>
      <c r="AQ159" s="31" t="str">
        <f aca="false">IF(AN159="","",IFERROR(INDEX(Catalog!$C$5:$C$400,MATCH(AN159,Catalog!$A$5:$A$400,0)),""))</f>
        <v/>
      </c>
      <c r="AR159" s="31" t="str">
        <f aca="false">IF(AN159="","",IFERROR(INDEX(Catalog!$D$5:$D$400,MATCH(AN159,Catalog!$A$5:$A$400,0)),""))</f>
        <v/>
      </c>
      <c r="AS159" s="31" t="str">
        <f aca="false">IF(AN159="","",IFERROR(INDEX(Catalog!$E$5:$E$400,MATCH(AN159,Catalog!$A$5:$A$400,0)),""))</f>
        <v/>
      </c>
      <c r="AT159" s="44" t="str">
        <f aca="false">IF(AN159="","",IFERROR(INDEX(Catalog!$F$5:$F$400,MATCH(AN159,Catalog!$A$5:$A$400,0)),""))</f>
        <v/>
      </c>
      <c r="AU159" s="31" t="str">
        <f aca="false">IF(AND(B159&lt;&gt;"",ISNUMBER(V159)),V159+ROW()/100000,"")</f>
        <v/>
      </c>
    </row>
    <row r="160" customFormat="false" ht="15" hidden="false" customHeight="false" outlineLevel="0" collapsed="false">
      <c r="A160" s="31" t="str">
        <f aca="false">IF(B160="","",ROW()-5)</f>
        <v/>
      </c>
      <c r="B160" s="32"/>
      <c r="C160" s="32"/>
      <c r="D160" s="32"/>
      <c r="E160" s="32"/>
      <c r="F160" s="32"/>
      <c r="G160" s="32"/>
      <c r="H160" s="33"/>
      <c r="I160" s="33"/>
      <c r="J160" s="32"/>
      <c r="K160" s="33"/>
      <c r="L160" s="32"/>
      <c r="M160" s="34"/>
      <c r="N160" s="34"/>
      <c r="O160" s="35" t="str">
        <f aca="false">IF(OR(M160="",N160="",M160=0),"",N160/M160)</f>
        <v/>
      </c>
      <c r="P160" s="36"/>
      <c r="Q160" s="37"/>
      <c r="R160" s="38" t="str">
        <f aca="false">IF(Q160&lt;&gt;"",Q160,IF(AND(P160&lt;&gt;"",M160&lt;&gt;""),P160*12*M160,""))</f>
        <v/>
      </c>
      <c r="S160" s="32"/>
      <c r="T160" s="32"/>
      <c r="U160" s="39"/>
      <c r="V160" s="39"/>
      <c r="W160" s="34"/>
      <c r="X160" s="32"/>
      <c r="Y160" s="34"/>
      <c r="Z160" s="40" t="str">
        <f aca="false">IF(OR(V160="",Y160=""),"",V160-Y160)</f>
        <v/>
      </c>
      <c r="AA160" s="41" t="str">
        <f aca="true">IF(V160="","",V160-TODAY())</f>
        <v/>
      </c>
      <c r="AB160" s="42" t="str">
        <f aca="false">IF(V160="","",IF(AA160&lt;0,"Past due",IF(AA160&lt;=90,"0–90 days",IF(AA160&lt;=180,"91–180 days",IF(AA160&lt;=365,"181–365 days","Over a year")))))</f>
        <v/>
      </c>
      <c r="AC160" s="43"/>
      <c r="AD160" s="32"/>
      <c r="AE160" s="32"/>
      <c r="AF160" s="33"/>
      <c r="AG160" s="32"/>
      <c r="AH160" s="33"/>
      <c r="AI160" s="32"/>
      <c r="AJ160" s="33"/>
      <c r="AK160" s="32"/>
      <c r="AL160" s="32"/>
      <c r="AM160" s="33"/>
      <c r="AN160" s="31" t="str">
        <f aca="false">IF(B160="","",IFERROR(INDEX(Lookup!$B$2:$B$3000,MATCH(TRIM(B160),Lookup!$A$2:$A$3000,0)),""))</f>
        <v/>
      </c>
      <c r="AO160" s="42" t="str">
        <f aca="false">IF(B160="","",IF(AN160="","No – will be reviewed","Yes"))</f>
        <v/>
      </c>
      <c r="AP160" s="31" t="str">
        <f aca="false">IF(AN160="","",IFERROR(INDEX(Catalog!$B$5:$B$400,MATCH(AN160,Catalog!$A$5:$A$400,0)),""))</f>
        <v/>
      </c>
      <c r="AQ160" s="31" t="str">
        <f aca="false">IF(AN160="","",IFERROR(INDEX(Catalog!$C$5:$C$400,MATCH(AN160,Catalog!$A$5:$A$400,0)),""))</f>
        <v/>
      </c>
      <c r="AR160" s="31" t="str">
        <f aca="false">IF(AN160="","",IFERROR(INDEX(Catalog!$D$5:$D$400,MATCH(AN160,Catalog!$A$5:$A$400,0)),""))</f>
        <v/>
      </c>
      <c r="AS160" s="31" t="str">
        <f aca="false">IF(AN160="","",IFERROR(INDEX(Catalog!$E$5:$E$400,MATCH(AN160,Catalog!$A$5:$A$400,0)),""))</f>
        <v/>
      </c>
      <c r="AT160" s="44" t="str">
        <f aca="false">IF(AN160="","",IFERROR(INDEX(Catalog!$F$5:$F$400,MATCH(AN160,Catalog!$A$5:$A$400,0)),""))</f>
        <v/>
      </c>
      <c r="AU160" s="31" t="str">
        <f aca="false">IF(AND(B160&lt;&gt;"",ISNUMBER(V160)),V160+ROW()/100000,"")</f>
        <v/>
      </c>
    </row>
    <row r="161" customFormat="false" ht="15" hidden="false" customHeight="false" outlineLevel="0" collapsed="false">
      <c r="A161" s="31" t="str">
        <f aca="false">IF(B161="","",ROW()-5)</f>
        <v/>
      </c>
      <c r="B161" s="32"/>
      <c r="C161" s="32"/>
      <c r="D161" s="32"/>
      <c r="E161" s="32"/>
      <c r="F161" s="32"/>
      <c r="G161" s="32"/>
      <c r="H161" s="33"/>
      <c r="I161" s="33"/>
      <c r="J161" s="32"/>
      <c r="K161" s="33"/>
      <c r="L161" s="32"/>
      <c r="M161" s="34"/>
      <c r="N161" s="34"/>
      <c r="O161" s="35" t="str">
        <f aca="false">IF(OR(M161="",N161="",M161=0),"",N161/M161)</f>
        <v/>
      </c>
      <c r="P161" s="36"/>
      <c r="Q161" s="37"/>
      <c r="R161" s="38" t="str">
        <f aca="false">IF(Q161&lt;&gt;"",Q161,IF(AND(P161&lt;&gt;"",M161&lt;&gt;""),P161*12*M161,""))</f>
        <v/>
      </c>
      <c r="S161" s="32"/>
      <c r="T161" s="32"/>
      <c r="U161" s="39"/>
      <c r="V161" s="39"/>
      <c r="W161" s="34"/>
      <c r="X161" s="32"/>
      <c r="Y161" s="34"/>
      <c r="Z161" s="40" t="str">
        <f aca="false">IF(OR(V161="",Y161=""),"",V161-Y161)</f>
        <v/>
      </c>
      <c r="AA161" s="41" t="str">
        <f aca="true">IF(V161="","",V161-TODAY())</f>
        <v/>
      </c>
      <c r="AB161" s="42" t="str">
        <f aca="false">IF(V161="","",IF(AA161&lt;0,"Past due",IF(AA161&lt;=90,"0–90 days",IF(AA161&lt;=180,"91–180 days",IF(AA161&lt;=365,"181–365 days","Over a year")))))</f>
        <v/>
      </c>
      <c r="AC161" s="43"/>
      <c r="AD161" s="32"/>
      <c r="AE161" s="32"/>
      <c r="AF161" s="33"/>
      <c r="AG161" s="32"/>
      <c r="AH161" s="33"/>
      <c r="AI161" s="32"/>
      <c r="AJ161" s="33"/>
      <c r="AK161" s="32"/>
      <c r="AL161" s="32"/>
      <c r="AM161" s="33"/>
      <c r="AN161" s="31" t="str">
        <f aca="false">IF(B161="","",IFERROR(INDEX(Lookup!$B$2:$B$3000,MATCH(TRIM(B161),Lookup!$A$2:$A$3000,0)),""))</f>
        <v/>
      </c>
      <c r="AO161" s="42" t="str">
        <f aca="false">IF(B161="","",IF(AN161="","No – will be reviewed","Yes"))</f>
        <v/>
      </c>
      <c r="AP161" s="31" t="str">
        <f aca="false">IF(AN161="","",IFERROR(INDEX(Catalog!$B$5:$B$400,MATCH(AN161,Catalog!$A$5:$A$400,0)),""))</f>
        <v/>
      </c>
      <c r="AQ161" s="31" t="str">
        <f aca="false">IF(AN161="","",IFERROR(INDEX(Catalog!$C$5:$C$400,MATCH(AN161,Catalog!$A$5:$A$400,0)),""))</f>
        <v/>
      </c>
      <c r="AR161" s="31" t="str">
        <f aca="false">IF(AN161="","",IFERROR(INDEX(Catalog!$D$5:$D$400,MATCH(AN161,Catalog!$A$5:$A$400,0)),""))</f>
        <v/>
      </c>
      <c r="AS161" s="31" t="str">
        <f aca="false">IF(AN161="","",IFERROR(INDEX(Catalog!$E$5:$E$400,MATCH(AN161,Catalog!$A$5:$A$400,0)),""))</f>
        <v/>
      </c>
      <c r="AT161" s="44" t="str">
        <f aca="false">IF(AN161="","",IFERROR(INDEX(Catalog!$F$5:$F$400,MATCH(AN161,Catalog!$A$5:$A$400,0)),""))</f>
        <v/>
      </c>
      <c r="AU161" s="31" t="str">
        <f aca="false">IF(AND(B161&lt;&gt;"",ISNUMBER(V161)),V161+ROW()/100000,"")</f>
        <v/>
      </c>
    </row>
    <row r="162" customFormat="false" ht="15" hidden="false" customHeight="false" outlineLevel="0" collapsed="false">
      <c r="A162" s="31" t="str">
        <f aca="false">IF(B162="","",ROW()-5)</f>
        <v/>
      </c>
      <c r="B162" s="32"/>
      <c r="C162" s="32"/>
      <c r="D162" s="32"/>
      <c r="E162" s="32"/>
      <c r="F162" s="32"/>
      <c r="G162" s="32"/>
      <c r="H162" s="33"/>
      <c r="I162" s="33"/>
      <c r="J162" s="32"/>
      <c r="K162" s="33"/>
      <c r="L162" s="32"/>
      <c r="M162" s="34"/>
      <c r="N162" s="34"/>
      <c r="O162" s="35" t="str">
        <f aca="false">IF(OR(M162="",N162="",M162=0),"",N162/M162)</f>
        <v/>
      </c>
      <c r="P162" s="36"/>
      <c r="Q162" s="37"/>
      <c r="R162" s="38" t="str">
        <f aca="false">IF(Q162&lt;&gt;"",Q162,IF(AND(P162&lt;&gt;"",M162&lt;&gt;""),P162*12*M162,""))</f>
        <v/>
      </c>
      <c r="S162" s="32"/>
      <c r="T162" s="32"/>
      <c r="U162" s="39"/>
      <c r="V162" s="39"/>
      <c r="W162" s="34"/>
      <c r="X162" s="32"/>
      <c r="Y162" s="34"/>
      <c r="Z162" s="40" t="str">
        <f aca="false">IF(OR(V162="",Y162=""),"",V162-Y162)</f>
        <v/>
      </c>
      <c r="AA162" s="41" t="str">
        <f aca="true">IF(V162="","",V162-TODAY())</f>
        <v/>
      </c>
      <c r="AB162" s="42" t="str">
        <f aca="false">IF(V162="","",IF(AA162&lt;0,"Past due",IF(AA162&lt;=90,"0–90 days",IF(AA162&lt;=180,"91–180 days",IF(AA162&lt;=365,"181–365 days","Over a year")))))</f>
        <v/>
      </c>
      <c r="AC162" s="43"/>
      <c r="AD162" s="32"/>
      <c r="AE162" s="32"/>
      <c r="AF162" s="33"/>
      <c r="AG162" s="32"/>
      <c r="AH162" s="33"/>
      <c r="AI162" s="32"/>
      <c r="AJ162" s="33"/>
      <c r="AK162" s="32"/>
      <c r="AL162" s="32"/>
      <c r="AM162" s="33"/>
      <c r="AN162" s="31" t="str">
        <f aca="false">IF(B162="","",IFERROR(INDEX(Lookup!$B$2:$B$3000,MATCH(TRIM(B162),Lookup!$A$2:$A$3000,0)),""))</f>
        <v/>
      </c>
      <c r="AO162" s="42" t="str">
        <f aca="false">IF(B162="","",IF(AN162="","No – will be reviewed","Yes"))</f>
        <v/>
      </c>
      <c r="AP162" s="31" t="str">
        <f aca="false">IF(AN162="","",IFERROR(INDEX(Catalog!$B$5:$B$400,MATCH(AN162,Catalog!$A$5:$A$400,0)),""))</f>
        <v/>
      </c>
      <c r="AQ162" s="31" t="str">
        <f aca="false">IF(AN162="","",IFERROR(INDEX(Catalog!$C$5:$C$400,MATCH(AN162,Catalog!$A$5:$A$400,0)),""))</f>
        <v/>
      </c>
      <c r="AR162" s="31" t="str">
        <f aca="false">IF(AN162="","",IFERROR(INDEX(Catalog!$D$5:$D$400,MATCH(AN162,Catalog!$A$5:$A$400,0)),""))</f>
        <v/>
      </c>
      <c r="AS162" s="31" t="str">
        <f aca="false">IF(AN162="","",IFERROR(INDEX(Catalog!$E$5:$E$400,MATCH(AN162,Catalog!$A$5:$A$400,0)),""))</f>
        <v/>
      </c>
      <c r="AT162" s="44" t="str">
        <f aca="false">IF(AN162="","",IFERROR(INDEX(Catalog!$F$5:$F$400,MATCH(AN162,Catalog!$A$5:$A$400,0)),""))</f>
        <v/>
      </c>
      <c r="AU162" s="31" t="str">
        <f aca="false">IF(AND(B162&lt;&gt;"",ISNUMBER(V162)),V162+ROW()/100000,"")</f>
        <v/>
      </c>
    </row>
    <row r="163" customFormat="false" ht="15" hidden="false" customHeight="false" outlineLevel="0" collapsed="false">
      <c r="A163" s="31" t="str">
        <f aca="false">IF(B163="","",ROW()-5)</f>
        <v/>
      </c>
      <c r="B163" s="32"/>
      <c r="C163" s="32"/>
      <c r="D163" s="32"/>
      <c r="E163" s="32"/>
      <c r="F163" s="32"/>
      <c r="G163" s="32"/>
      <c r="H163" s="33"/>
      <c r="I163" s="33"/>
      <c r="J163" s="32"/>
      <c r="K163" s="33"/>
      <c r="L163" s="32"/>
      <c r="M163" s="34"/>
      <c r="N163" s="34"/>
      <c r="O163" s="35" t="str">
        <f aca="false">IF(OR(M163="",N163="",M163=0),"",N163/M163)</f>
        <v/>
      </c>
      <c r="P163" s="36"/>
      <c r="Q163" s="37"/>
      <c r="R163" s="38" t="str">
        <f aca="false">IF(Q163&lt;&gt;"",Q163,IF(AND(P163&lt;&gt;"",M163&lt;&gt;""),P163*12*M163,""))</f>
        <v/>
      </c>
      <c r="S163" s="32"/>
      <c r="T163" s="32"/>
      <c r="U163" s="39"/>
      <c r="V163" s="39"/>
      <c r="W163" s="34"/>
      <c r="X163" s="32"/>
      <c r="Y163" s="34"/>
      <c r="Z163" s="40" t="str">
        <f aca="false">IF(OR(V163="",Y163=""),"",V163-Y163)</f>
        <v/>
      </c>
      <c r="AA163" s="41" t="str">
        <f aca="true">IF(V163="","",V163-TODAY())</f>
        <v/>
      </c>
      <c r="AB163" s="42" t="str">
        <f aca="false">IF(V163="","",IF(AA163&lt;0,"Past due",IF(AA163&lt;=90,"0–90 days",IF(AA163&lt;=180,"91–180 days",IF(AA163&lt;=365,"181–365 days","Over a year")))))</f>
        <v/>
      </c>
      <c r="AC163" s="43"/>
      <c r="AD163" s="32"/>
      <c r="AE163" s="32"/>
      <c r="AF163" s="33"/>
      <c r="AG163" s="32"/>
      <c r="AH163" s="33"/>
      <c r="AI163" s="32"/>
      <c r="AJ163" s="33"/>
      <c r="AK163" s="32"/>
      <c r="AL163" s="32"/>
      <c r="AM163" s="33"/>
      <c r="AN163" s="31" t="str">
        <f aca="false">IF(B163="","",IFERROR(INDEX(Lookup!$B$2:$B$3000,MATCH(TRIM(B163),Lookup!$A$2:$A$3000,0)),""))</f>
        <v/>
      </c>
      <c r="AO163" s="42" t="str">
        <f aca="false">IF(B163="","",IF(AN163="","No – will be reviewed","Yes"))</f>
        <v/>
      </c>
      <c r="AP163" s="31" t="str">
        <f aca="false">IF(AN163="","",IFERROR(INDEX(Catalog!$B$5:$B$400,MATCH(AN163,Catalog!$A$5:$A$400,0)),""))</f>
        <v/>
      </c>
      <c r="AQ163" s="31" t="str">
        <f aca="false">IF(AN163="","",IFERROR(INDEX(Catalog!$C$5:$C$400,MATCH(AN163,Catalog!$A$5:$A$400,0)),""))</f>
        <v/>
      </c>
      <c r="AR163" s="31" t="str">
        <f aca="false">IF(AN163="","",IFERROR(INDEX(Catalog!$D$5:$D$400,MATCH(AN163,Catalog!$A$5:$A$400,0)),""))</f>
        <v/>
      </c>
      <c r="AS163" s="31" t="str">
        <f aca="false">IF(AN163="","",IFERROR(INDEX(Catalog!$E$5:$E$400,MATCH(AN163,Catalog!$A$5:$A$400,0)),""))</f>
        <v/>
      </c>
      <c r="AT163" s="44" t="str">
        <f aca="false">IF(AN163="","",IFERROR(INDEX(Catalog!$F$5:$F$400,MATCH(AN163,Catalog!$A$5:$A$400,0)),""))</f>
        <v/>
      </c>
      <c r="AU163" s="31" t="str">
        <f aca="false">IF(AND(B163&lt;&gt;"",ISNUMBER(V163)),V163+ROW()/100000,"")</f>
        <v/>
      </c>
    </row>
    <row r="164" customFormat="false" ht="15" hidden="false" customHeight="false" outlineLevel="0" collapsed="false">
      <c r="A164" s="31" t="str">
        <f aca="false">IF(B164="","",ROW()-5)</f>
        <v/>
      </c>
      <c r="B164" s="32"/>
      <c r="C164" s="32"/>
      <c r="D164" s="32"/>
      <c r="E164" s="32"/>
      <c r="F164" s="32"/>
      <c r="G164" s="32"/>
      <c r="H164" s="33"/>
      <c r="I164" s="33"/>
      <c r="J164" s="32"/>
      <c r="K164" s="33"/>
      <c r="L164" s="32"/>
      <c r="M164" s="34"/>
      <c r="N164" s="34"/>
      <c r="O164" s="35" t="str">
        <f aca="false">IF(OR(M164="",N164="",M164=0),"",N164/M164)</f>
        <v/>
      </c>
      <c r="P164" s="36"/>
      <c r="Q164" s="37"/>
      <c r="R164" s="38" t="str">
        <f aca="false">IF(Q164&lt;&gt;"",Q164,IF(AND(P164&lt;&gt;"",M164&lt;&gt;""),P164*12*M164,""))</f>
        <v/>
      </c>
      <c r="S164" s="32"/>
      <c r="T164" s="32"/>
      <c r="U164" s="39"/>
      <c r="V164" s="39"/>
      <c r="W164" s="34"/>
      <c r="X164" s="32"/>
      <c r="Y164" s="34"/>
      <c r="Z164" s="40" t="str">
        <f aca="false">IF(OR(V164="",Y164=""),"",V164-Y164)</f>
        <v/>
      </c>
      <c r="AA164" s="41" t="str">
        <f aca="true">IF(V164="","",V164-TODAY())</f>
        <v/>
      </c>
      <c r="AB164" s="42" t="str">
        <f aca="false">IF(V164="","",IF(AA164&lt;0,"Past due",IF(AA164&lt;=90,"0–90 days",IF(AA164&lt;=180,"91–180 days",IF(AA164&lt;=365,"181–365 days","Over a year")))))</f>
        <v/>
      </c>
      <c r="AC164" s="43"/>
      <c r="AD164" s="32"/>
      <c r="AE164" s="32"/>
      <c r="AF164" s="33"/>
      <c r="AG164" s="32"/>
      <c r="AH164" s="33"/>
      <c r="AI164" s="32"/>
      <c r="AJ164" s="33"/>
      <c r="AK164" s="32"/>
      <c r="AL164" s="32"/>
      <c r="AM164" s="33"/>
      <c r="AN164" s="31" t="str">
        <f aca="false">IF(B164="","",IFERROR(INDEX(Lookup!$B$2:$B$3000,MATCH(TRIM(B164),Lookup!$A$2:$A$3000,0)),""))</f>
        <v/>
      </c>
      <c r="AO164" s="42" t="str">
        <f aca="false">IF(B164="","",IF(AN164="","No – will be reviewed","Yes"))</f>
        <v/>
      </c>
      <c r="AP164" s="31" t="str">
        <f aca="false">IF(AN164="","",IFERROR(INDEX(Catalog!$B$5:$B$400,MATCH(AN164,Catalog!$A$5:$A$400,0)),""))</f>
        <v/>
      </c>
      <c r="AQ164" s="31" t="str">
        <f aca="false">IF(AN164="","",IFERROR(INDEX(Catalog!$C$5:$C$400,MATCH(AN164,Catalog!$A$5:$A$400,0)),""))</f>
        <v/>
      </c>
      <c r="AR164" s="31" t="str">
        <f aca="false">IF(AN164="","",IFERROR(INDEX(Catalog!$D$5:$D$400,MATCH(AN164,Catalog!$A$5:$A$400,0)),""))</f>
        <v/>
      </c>
      <c r="AS164" s="31" t="str">
        <f aca="false">IF(AN164="","",IFERROR(INDEX(Catalog!$E$5:$E$400,MATCH(AN164,Catalog!$A$5:$A$400,0)),""))</f>
        <v/>
      </c>
      <c r="AT164" s="44" t="str">
        <f aca="false">IF(AN164="","",IFERROR(INDEX(Catalog!$F$5:$F$400,MATCH(AN164,Catalog!$A$5:$A$400,0)),""))</f>
        <v/>
      </c>
      <c r="AU164" s="31" t="str">
        <f aca="false">IF(AND(B164&lt;&gt;"",ISNUMBER(V164)),V164+ROW()/100000,"")</f>
        <v/>
      </c>
    </row>
    <row r="165" customFormat="false" ht="15" hidden="false" customHeight="false" outlineLevel="0" collapsed="false">
      <c r="A165" s="31" t="str">
        <f aca="false">IF(B165="","",ROW()-5)</f>
        <v/>
      </c>
      <c r="B165" s="32"/>
      <c r="C165" s="32"/>
      <c r="D165" s="32"/>
      <c r="E165" s="32"/>
      <c r="F165" s="32"/>
      <c r="G165" s="32"/>
      <c r="H165" s="33"/>
      <c r="I165" s="33"/>
      <c r="J165" s="32"/>
      <c r="K165" s="33"/>
      <c r="L165" s="32"/>
      <c r="M165" s="34"/>
      <c r="N165" s="34"/>
      <c r="O165" s="35" t="str">
        <f aca="false">IF(OR(M165="",N165="",M165=0),"",N165/M165)</f>
        <v/>
      </c>
      <c r="P165" s="36"/>
      <c r="Q165" s="37"/>
      <c r="R165" s="38" t="str">
        <f aca="false">IF(Q165&lt;&gt;"",Q165,IF(AND(P165&lt;&gt;"",M165&lt;&gt;""),P165*12*M165,""))</f>
        <v/>
      </c>
      <c r="S165" s="32"/>
      <c r="T165" s="32"/>
      <c r="U165" s="39"/>
      <c r="V165" s="39"/>
      <c r="W165" s="34"/>
      <c r="X165" s="32"/>
      <c r="Y165" s="34"/>
      <c r="Z165" s="40" t="str">
        <f aca="false">IF(OR(V165="",Y165=""),"",V165-Y165)</f>
        <v/>
      </c>
      <c r="AA165" s="41" t="str">
        <f aca="true">IF(V165="","",V165-TODAY())</f>
        <v/>
      </c>
      <c r="AB165" s="42" t="str">
        <f aca="false">IF(V165="","",IF(AA165&lt;0,"Past due",IF(AA165&lt;=90,"0–90 days",IF(AA165&lt;=180,"91–180 days",IF(AA165&lt;=365,"181–365 days","Over a year")))))</f>
        <v/>
      </c>
      <c r="AC165" s="43"/>
      <c r="AD165" s="32"/>
      <c r="AE165" s="32"/>
      <c r="AF165" s="33"/>
      <c r="AG165" s="32"/>
      <c r="AH165" s="33"/>
      <c r="AI165" s="32"/>
      <c r="AJ165" s="33"/>
      <c r="AK165" s="32"/>
      <c r="AL165" s="32"/>
      <c r="AM165" s="33"/>
      <c r="AN165" s="31" t="str">
        <f aca="false">IF(B165="","",IFERROR(INDEX(Lookup!$B$2:$B$3000,MATCH(TRIM(B165),Lookup!$A$2:$A$3000,0)),""))</f>
        <v/>
      </c>
      <c r="AO165" s="42" t="str">
        <f aca="false">IF(B165="","",IF(AN165="","No – will be reviewed","Yes"))</f>
        <v/>
      </c>
      <c r="AP165" s="31" t="str">
        <f aca="false">IF(AN165="","",IFERROR(INDEX(Catalog!$B$5:$B$400,MATCH(AN165,Catalog!$A$5:$A$400,0)),""))</f>
        <v/>
      </c>
      <c r="AQ165" s="31" t="str">
        <f aca="false">IF(AN165="","",IFERROR(INDEX(Catalog!$C$5:$C$400,MATCH(AN165,Catalog!$A$5:$A$400,0)),""))</f>
        <v/>
      </c>
      <c r="AR165" s="31" t="str">
        <f aca="false">IF(AN165="","",IFERROR(INDEX(Catalog!$D$5:$D$400,MATCH(AN165,Catalog!$A$5:$A$400,0)),""))</f>
        <v/>
      </c>
      <c r="AS165" s="31" t="str">
        <f aca="false">IF(AN165="","",IFERROR(INDEX(Catalog!$E$5:$E$400,MATCH(AN165,Catalog!$A$5:$A$400,0)),""))</f>
        <v/>
      </c>
      <c r="AT165" s="44" t="str">
        <f aca="false">IF(AN165="","",IFERROR(INDEX(Catalog!$F$5:$F$400,MATCH(AN165,Catalog!$A$5:$A$400,0)),""))</f>
        <v/>
      </c>
      <c r="AU165" s="31" t="str">
        <f aca="false">IF(AND(B165&lt;&gt;"",ISNUMBER(V165)),V165+ROW()/100000,"")</f>
        <v/>
      </c>
    </row>
    <row r="166" customFormat="false" ht="15" hidden="false" customHeight="false" outlineLevel="0" collapsed="false">
      <c r="A166" s="31" t="str">
        <f aca="false">IF(B166="","",ROW()-5)</f>
        <v/>
      </c>
      <c r="B166" s="32"/>
      <c r="C166" s="32"/>
      <c r="D166" s="32"/>
      <c r="E166" s="32"/>
      <c r="F166" s="32"/>
      <c r="G166" s="32"/>
      <c r="H166" s="33"/>
      <c r="I166" s="33"/>
      <c r="J166" s="32"/>
      <c r="K166" s="33"/>
      <c r="L166" s="32"/>
      <c r="M166" s="34"/>
      <c r="N166" s="34"/>
      <c r="O166" s="35" t="str">
        <f aca="false">IF(OR(M166="",N166="",M166=0),"",N166/M166)</f>
        <v/>
      </c>
      <c r="P166" s="36"/>
      <c r="Q166" s="37"/>
      <c r="R166" s="38" t="str">
        <f aca="false">IF(Q166&lt;&gt;"",Q166,IF(AND(P166&lt;&gt;"",M166&lt;&gt;""),P166*12*M166,""))</f>
        <v/>
      </c>
      <c r="S166" s="32"/>
      <c r="T166" s="32"/>
      <c r="U166" s="39"/>
      <c r="V166" s="39"/>
      <c r="W166" s="34"/>
      <c r="X166" s="32"/>
      <c r="Y166" s="34"/>
      <c r="Z166" s="40" t="str">
        <f aca="false">IF(OR(V166="",Y166=""),"",V166-Y166)</f>
        <v/>
      </c>
      <c r="AA166" s="41" t="str">
        <f aca="true">IF(V166="","",V166-TODAY())</f>
        <v/>
      </c>
      <c r="AB166" s="42" t="str">
        <f aca="false">IF(V166="","",IF(AA166&lt;0,"Past due",IF(AA166&lt;=90,"0–90 days",IF(AA166&lt;=180,"91–180 days",IF(AA166&lt;=365,"181–365 days","Over a year")))))</f>
        <v/>
      </c>
      <c r="AC166" s="43"/>
      <c r="AD166" s="32"/>
      <c r="AE166" s="32"/>
      <c r="AF166" s="33"/>
      <c r="AG166" s="32"/>
      <c r="AH166" s="33"/>
      <c r="AI166" s="32"/>
      <c r="AJ166" s="33"/>
      <c r="AK166" s="32"/>
      <c r="AL166" s="32"/>
      <c r="AM166" s="33"/>
      <c r="AN166" s="31" t="str">
        <f aca="false">IF(B166="","",IFERROR(INDEX(Lookup!$B$2:$B$3000,MATCH(TRIM(B166),Lookup!$A$2:$A$3000,0)),""))</f>
        <v/>
      </c>
      <c r="AO166" s="42" t="str">
        <f aca="false">IF(B166="","",IF(AN166="","No – will be reviewed","Yes"))</f>
        <v/>
      </c>
      <c r="AP166" s="31" t="str">
        <f aca="false">IF(AN166="","",IFERROR(INDEX(Catalog!$B$5:$B$400,MATCH(AN166,Catalog!$A$5:$A$400,0)),""))</f>
        <v/>
      </c>
      <c r="AQ166" s="31" t="str">
        <f aca="false">IF(AN166="","",IFERROR(INDEX(Catalog!$C$5:$C$400,MATCH(AN166,Catalog!$A$5:$A$400,0)),""))</f>
        <v/>
      </c>
      <c r="AR166" s="31" t="str">
        <f aca="false">IF(AN166="","",IFERROR(INDEX(Catalog!$D$5:$D$400,MATCH(AN166,Catalog!$A$5:$A$400,0)),""))</f>
        <v/>
      </c>
      <c r="AS166" s="31" t="str">
        <f aca="false">IF(AN166="","",IFERROR(INDEX(Catalog!$E$5:$E$400,MATCH(AN166,Catalog!$A$5:$A$400,0)),""))</f>
        <v/>
      </c>
      <c r="AT166" s="44" t="str">
        <f aca="false">IF(AN166="","",IFERROR(INDEX(Catalog!$F$5:$F$400,MATCH(AN166,Catalog!$A$5:$A$400,0)),""))</f>
        <v/>
      </c>
      <c r="AU166" s="31" t="str">
        <f aca="false">IF(AND(B166&lt;&gt;"",ISNUMBER(V166)),V166+ROW()/100000,"")</f>
        <v/>
      </c>
    </row>
    <row r="167" customFormat="false" ht="15" hidden="false" customHeight="false" outlineLevel="0" collapsed="false">
      <c r="A167" s="31" t="str">
        <f aca="false">IF(B167="","",ROW()-5)</f>
        <v/>
      </c>
      <c r="B167" s="32"/>
      <c r="C167" s="32"/>
      <c r="D167" s="32"/>
      <c r="E167" s="32"/>
      <c r="F167" s="32"/>
      <c r="G167" s="32"/>
      <c r="H167" s="33"/>
      <c r="I167" s="33"/>
      <c r="J167" s="32"/>
      <c r="K167" s="33"/>
      <c r="L167" s="32"/>
      <c r="M167" s="34"/>
      <c r="N167" s="34"/>
      <c r="O167" s="35" t="str">
        <f aca="false">IF(OR(M167="",N167="",M167=0),"",N167/M167)</f>
        <v/>
      </c>
      <c r="P167" s="36"/>
      <c r="Q167" s="37"/>
      <c r="R167" s="38" t="str">
        <f aca="false">IF(Q167&lt;&gt;"",Q167,IF(AND(P167&lt;&gt;"",M167&lt;&gt;""),P167*12*M167,""))</f>
        <v/>
      </c>
      <c r="S167" s="32"/>
      <c r="T167" s="32"/>
      <c r="U167" s="39"/>
      <c r="V167" s="39"/>
      <c r="W167" s="34"/>
      <c r="X167" s="32"/>
      <c r="Y167" s="34"/>
      <c r="Z167" s="40" t="str">
        <f aca="false">IF(OR(V167="",Y167=""),"",V167-Y167)</f>
        <v/>
      </c>
      <c r="AA167" s="41" t="str">
        <f aca="true">IF(V167="","",V167-TODAY())</f>
        <v/>
      </c>
      <c r="AB167" s="42" t="str">
        <f aca="false">IF(V167="","",IF(AA167&lt;0,"Past due",IF(AA167&lt;=90,"0–90 days",IF(AA167&lt;=180,"91–180 days",IF(AA167&lt;=365,"181–365 days","Over a year")))))</f>
        <v/>
      </c>
      <c r="AC167" s="43"/>
      <c r="AD167" s="32"/>
      <c r="AE167" s="32"/>
      <c r="AF167" s="33"/>
      <c r="AG167" s="32"/>
      <c r="AH167" s="33"/>
      <c r="AI167" s="32"/>
      <c r="AJ167" s="33"/>
      <c r="AK167" s="32"/>
      <c r="AL167" s="32"/>
      <c r="AM167" s="33"/>
      <c r="AN167" s="31" t="str">
        <f aca="false">IF(B167="","",IFERROR(INDEX(Lookup!$B$2:$B$3000,MATCH(TRIM(B167),Lookup!$A$2:$A$3000,0)),""))</f>
        <v/>
      </c>
      <c r="AO167" s="42" t="str">
        <f aca="false">IF(B167="","",IF(AN167="","No – will be reviewed","Yes"))</f>
        <v/>
      </c>
      <c r="AP167" s="31" t="str">
        <f aca="false">IF(AN167="","",IFERROR(INDEX(Catalog!$B$5:$B$400,MATCH(AN167,Catalog!$A$5:$A$400,0)),""))</f>
        <v/>
      </c>
      <c r="AQ167" s="31" t="str">
        <f aca="false">IF(AN167="","",IFERROR(INDEX(Catalog!$C$5:$C$400,MATCH(AN167,Catalog!$A$5:$A$400,0)),""))</f>
        <v/>
      </c>
      <c r="AR167" s="31" t="str">
        <f aca="false">IF(AN167="","",IFERROR(INDEX(Catalog!$D$5:$D$400,MATCH(AN167,Catalog!$A$5:$A$400,0)),""))</f>
        <v/>
      </c>
      <c r="AS167" s="31" t="str">
        <f aca="false">IF(AN167="","",IFERROR(INDEX(Catalog!$E$5:$E$400,MATCH(AN167,Catalog!$A$5:$A$400,0)),""))</f>
        <v/>
      </c>
      <c r="AT167" s="44" t="str">
        <f aca="false">IF(AN167="","",IFERROR(INDEX(Catalog!$F$5:$F$400,MATCH(AN167,Catalog!$A$5:$A$400,0)),""))</f>
        <v/>
      </c>
      <c r="AU167" s="31" t="str">
        <f aca="false">IF(AND(B167&lt;&gt;"",ISNUMBER(V167)),V167+ROW()/100000,"")</f>
        <v/>
      </c>
    </row>
    <row r="168" customFormat="false" ht="15" hidden="false" customHeight="false" outlineLevel="0" collapsed="false">
      <c r="A168" s="31" t="str">
        <f aca="false">IF(B168="","",ROW()-5)</f>
        <v/>
      </c>
      <c r="B168" s="32"/>
      <c r="C168" s="32"/>
      <c r="D168" s="32"/>
      <c r="E168" s="32"/>
      <c r="F168" s="32"/>
      <c r="G168" s="32"/>
      <c r="H168" s="33"/>
      <c r="I168" s="33"/>
      <c r="J168" s="32"/>
      <c r="K168" s="33"/>
      <c r="L168" s="32"/>
      <c r="M168" s="34"/>
      <c r="N168" s="34"/>
      <c r="O168" s="35" t="str">
        <f aca="false">IF(OR(M168="",N168="",M168=0),"",N168/M168)</f>
        <v/>
      </c>
      <c r="P168" s="36"/>
      <c r="Q168" s="37"/>
      <c r="R168" s="38" t="str">
        <f aca="false">IF(Q168&lt;&gt;"",Q168,IF(AND(P168&lt;&gt;"",M168&lt;&gt;""),P168*12*M168,""))</f>
        <v/>
      </c>
      <c r="S168" s="32"/>
      <c r="T168" s="32"/>
      <c r="U168" s="39"/>
      <c r="V168" s="39"/>
      <c r="W168" s="34"/>
      <c r="X168" s="32"/>
      <c r="Y168" s="34"/>
      <c r="Z168" s="40" t="str">
        <f aca="false">IF(OR(V168="",Y168=""),"",V168-Y168)</f>
        <v/>
      </c>
      <c r="AA168" s="41" t="str">
        <f aca="true">IF(V168="","",V168-TODAY())</f>
        <v/>
      </c>
      <c r="AB168" s="42" t="str">
        <f aca="false">IF(V168="","",IF(AA168&lt;0,"Past due",IF(AA168&lt;=90,"0–90 days",IF(AA168&lt;=180,"91–180 days",IF(AA168&lt;=365,"181–365 days","Over a year")))))</f>
        <v/>
      </c>
      <c r="AC168" s="43"/>
      <c r="AD168" s="32"/>
      <c r="AE168" s="32"/>
      <c r="AF168" s="33"/>
      <c r="AG168" s="32"/>
      <c r="AH168" s="33"/>
      <c r="AI168" s="32"/>
      <c r="AJ168" s="33"/>
      <c r="AK168" s="32"/>
      <c r="AL168" s="32"/>
      <c r="AM168" s="33"/>
      <c r="AN168" s="31" t="str">
        <f aca="false">IF(B168="","",IFERROR(INDEX(Lookup!$B$2:$B$3000,MATCH(TRIM(B168),Lookup!$A$2:$A$3000,0)),""))</f>
        <v/>
      </c>
      <c r="AO168" s="42" t="str">
        <f aca="false">IF(B168="","",IF(AN168="","No – will be reviewed","Yes"))</f>
        <v/>
      </c>
      <c r="AP168" s="31" t="str">
        <f aca="false">IF(AN168="","",IFERROR(INDEX(Catalog!$B$5:$B$400,MATCH(AN168,Catalog!$A$5:$A$400,0)),""))</f>
        <v/>
      </c>
      <c r="AQ168" s="31" t="str">
        <f aca="false">IF(AN168="","",IFERROR(INDEX(Catalog!$C$5:$C$400,MATCH(AN168,Catalog!$A$5:$A$400,0)),""))</f>
        <v/>
      </c>
      <c r="AR168" s="31" t="str">
        <f aca="false">IF(AN168="","",IFERROR(INDEX(Catalog!$D$5:$D$400,MATCH(AN168,Catalog!$A$5:$A$400,0)),""))</f>
        <v/>
      </c>
      <c r="AS168" s="31" t="str">
        <f aca="false">IF(AN168="","",IFERROR(INDEX(Catalog!$E$5:$E$400,MATCH(AN168,Catalog!$A$5:$A$400,0)),""))</f>
        <v/>
      </c>
      <c r="AT168" s="44" t="str">
        <f aca="false">IF(AN168="","",IFERROR(INDEX(Catalog!$F$5:$F$400,MATCH(AN168,Catalog!$A$5:$A$400,0)),""))</f>
        <v/>
      </c>
      <c r="AU168" s="31" t="str">
        <f aca="false">IF(AND(B168&lt;&gt;"",ISNUMBER(V168)),V168+ROW()/100000,"")</f>
        <v/>
      </c>
    </row>
    <row r="169" customFormat="false" ht="15" hidden="false" customHeight="false" outlineLevel="0" collapsed="false">
      <c r="A169" s="31" t="str">
        <f aca="false">IF(B169="","",ROW()-5)</f>
        <v/>
      </c>
      <c r="B169" s="32"/>
      <c r="C169" s="32"/>
      <c r="D169" s="32"/>
      <c r="E169" s="32"/>
      <c r="F169" s="32"/>
      <c r="G169" s="32"/>
      <c r="H169" s="33"/>
      <c r="I169" s="33"/>
      <c r="J169" s="32"/>
      <c r="K169" s="33"/>
      <c r="L169" s="32"/>
      <c r="M169" s="34"/>
      <c r="N169" s="34"/>
      <c r="O169" s="35" t="str">
        <f aca="false">IF(OR(M169="",N169="",M169=0),"",N169/M169)</f>
        <v/>
      </c>
      <c r="P169" s="36"/>
      <c r="Q169" s="37"/>
      <c r="R169" s="38" t="str">
        <f aca="false">IF(Q169&lt;&gt;"",Q169,IF(AND(P169&lt;&gt;"",M169&lt;&gt;""),P169*12*M169,""))</f>
        <v/>
      </c>
      <c r="S169" s="32"/>
      <c r="T169" s="32"/>
      <c r="U169" s="39"/>
      <c r="V169" s="39"/>
      <c r="W169" s="34"/>
      <c r="X169" s="32"/>
      <c r="Y169" s="34"/>
      <c r="Z169" s="40" t="str">
        <f aca="false">IF(OR(V169="",Y169=""),"",V169-Y169)</f>
        <v/>
      </c>
      <c r="AA169" s="41" t="str">
        <f aca="true">IF(V169="","",V169-TODAY())</f>
        <v/>
      </c>
      <c r="AB169" s="42" t="str">
        <f aca="false">IF(V169="","",IF(AA169&lt;0,"Past due",IF(AA169&lt;=90,"0–90 days",IF(AA169&lt;=180,"91–180 days",IF(AA169&lt;=365,"181–365 days","Over a year")))))</f>
        <v/>
      </c>
      <c r="AC169" s="43"/>
      <c r="AD169" s="32"/>
      <c r="AE169" s="32"/>
      <c r="AF169" s="33"/>
      <c r="AG169" s="32"/>
      <c r="AH169" s="33"/>
      <c r="AI169" s="32"/>
      <c r="AJ169" s="33"/>
      <c r="AK169" s="32"/>
      <c r="AL169" s="32"/>
      <c r="AM169" s="33"/>
      <c r="AN169" s="31" t="str">
        <f aca="false">IF(B169="","",IFERROR(INDEX(Lookup!$B$2:$B$3000,MATCH(TRIM(B169),Lookup!$A$2:$A$3000,0)),""))</f>
        <v/>
      </c>
      <c r="AO169" s="42" t="str">
        <f aca="false">IF(B169="","",IF(AN169="","No – will be reviewed","Yes"))</f>
        <v/>
      </c>
      <c r="AP169" s="31" t="str">
        <f aca="false">IF(AN169="","",IFERROR(INDEX(Catalog!$B$5:$B$400,MATCH(AN169,Catalog!$A$5:$A$400,0)),""))</f>
        <v/>
      </c>
      <c r="AQ169" s="31" t="str">
        <f aca="false">IF(AN169="","",IFERROR(INDEX(Catalog!$C$5:$C$400,MATCH(AN169,Catalog!$A$5:$A$400,0)),""))</f>
        <v/>
      </c>
      <c r="AR169" s="31" t="str">
        <f aca="false">IF(AN169="","",IFERROR(INDEX(Catalog!$D$5:$D$400,MATCH(AN169,Catalog!$A$5:$A$400,0)),""))</f>
        <v/>
      </c>
      <c r="AS169" s="31" t="str">
        <f aca="false">IF(AN169="","",IFERROR(INDEX(Catalog!$E$5:$E$400,MATCH(AN169,Catalog!$A$5:$A$400,0)),""))</f>
        <v/>
      </c>
      <c r="AT169" s="44" t="str">
        <f aca="false">IF(AN169="","",IFERROR(INDEX(Catalog!$F$5:$F$400,MATCH(AN169,Catalog!$A$5:$A$400,0)),""))</f>
        <v/>
      </c>
      <c r="AU169" s="31" t="str">
        <f aca="false">IF(AND(B169&lt;&gt;"",ISNUMBER(V169)),V169+ROW()/100000,"")</f>
        <v/>
      </c>
    </row>
    <row r="170" customFormat="false" ht="15" hidden="false" customHeight="false" outlineLevel="0" collapsed="false">
      <c r="A170" s="31" t="str">
        <f aca="false">IF(B170="","",ROW()-5)</f>
        <v/>
      </c>
      <c r="B170" s="32"/>
      <c r="C170" s="32"/>
      <c r="D170" s="32"/>
      <c r="E170" s="32"/>
      <c r="F170" s="32"/>
      <c r="G170" s="32"/>
      <c r="H170" s="33"/>
      <c r="I170" s="33"/>
      <c r="J170" s="32"/>
      <c r="K170" s="33"/>
      <c r="L170" s="32"/>
      <c r="M170" s="34"/>
      <c r="N170" s="34"/>
      <c r="O170" s="35" t="str">
        <f aca="false">IF(OR(M170="",N170="",M170=0),"",N170/M170)</f>
        <v/>
      </c>
      <c r="P170" s="36"/>
      <c r="Q170" s="37"/>
      <c r="R170" s="38" t="str">
        <f aca="false">IF(Q170&lt;&gt;"",Q170,IF(AND(P170&lt;&gt;"",M170&lt;&gt;""),P170*12*M170,""))</f>
        <v/>
      </c>
      <c r="S170" s="32"/>
      <c r="T170" s="32"/>
      <c r="U170" s="39"/>
      <c r="V170" s="39"/>
      <c r="W170" s="34"/>
      <c r="X170" s="32"/>
      <c r="Y170" s="34"/>
      <c r="Z170" s="40" t="str">
        <f aca="false">IF(OR(V170="",Y170=""),"",V170-Y170)</f>
        <v/>
      </c>
      <c r="AA170" s="41" t="str">
        <f aca="true">IF(V170="","",V170-TODAY())</f>
        <v/>
      </c>
      <c r="AB170" s="42" t="str">
        <f aca="false">IF(V170="","",IF(AA170&lt;0,"Past due",IF(AA170&lt;=90,"0–90 days",IF(AA170&lt;=180,"91–180 days",IF(AA170&lt;=365,"181–365 days","Over a year")))))</f>
        <v/>
      </c>
      <c r="AC170" s="43"/>
      <c r="AD170" s="32"/>
      <c r="AE170" s="32"/>
      <c r="AF170" s="33"/>
      <c r="AG170" s="32"/>
      <c r="AH170" s="33"/>
      <c r="AI170" s="32"/>
      <c r="AJ170" s="33"/>
      <c r="AK170" s="32"/>
      <c r="AL170" s="32"/>
      <c r="AM170" s="33"/>
      <c r="AN170" s="31" t="str">
        <f aca="false">IF(B170="","",IFERROR(INDEX(Lookup!$B$2:$B$3000,MATCH(TRIM(B170),Lookup!$A$2:$A$3000,0)),""))</f>
        <v/>
      </c>
      <c r="AO170" s="42" t="str">
        <f aca="false">IF(B170="","",IF(AN170="","No – will be reviewed","Yes"))</f>
        <v/>
      </c>
      <c r="AP170" s="31" t="str">
        <f aca="false">IF(AN170="","",IFERROR(INDEX(Catalog!$B$5:$B$400,MATCH(AN170,Catalog!$A$5:$A$400,0)),""))</f>
        <v/>
      </c>
      <c r="AQ170" s="31" t="str">
        <f aca="false">IF(AN170="","",IFERROR(INDEX(Catalog!$C$5:$C$400,MATCH(AN170,Catalog!$A$5:$A$400,0)),""))</f>
        <v/>
      </c>
      <c r="AR170" s="31" t="str">
        <f aca="false">IF(AN170="","",IFERROR(INDEX(Catalog!$D$5:$D$400,MATCH(AN170,Catalog!$A$5:$A$400,0)),""))</f>
        <v/>
      </c>
      <c r="AS170" s="31" t="str">
        <f aca="false">IF(AN170="","",IFERROR(INDEX(Catalog!$E$5:$E$400,MATCH(AN170,Catalog!$A$5:$A$400,0)),""))</f>
        <v/>
      </c>
      <c r="AT170" s="44" t="str">
        <f aca="false">IF(AN170="","",IFERROR(INDEX(Catalog!$F$5:$F$400,MATCH(AN170,Catalog!$A$5:$A$400,0)),""))</f>
        <v/>
      </c>
      <c r="AU170" s="31" t="str">
        <f aca="false">IF(AND(B170&lt;&gt;"",ISNUMBER(V170)),V170+ROW()/100000,"")</f>
        <v/>
      </c>
    </row>
    <row r="171" customFormat="false" ht="15" hidden="false" customHeight="false" outlineLevel="0" collapsed="false">
      <c r="A171" s="31" t="str">
        <f aca="false">IF(B171="","",ROW()-5)</f>
        <v/>
      </c>
      <c r="B171" s="32"/>
      <c r="C171" s="32"/>
      <c r="D171" s="32"/>
      <c r="E171" s="32"/>
      <c r="F171" s="32"/>
      <c r="G171" s="32"/>
      <c r="H171" s="33"/>
      <c r="I171" s="33"/>
      <c r="J171" s="32"/>
      <c r="K171" s="33"/>
      <c r="L171" s="32"/>
      <c r="M171" s="34"/>
      <c r="N171" s="34"/>
      <c r="O171" s="35" t="str">
        <f aca="false">IF(OR(M171="",N171="",M171=0),"",N171/M171)</f>
        <v/>
      </c>
      <c r="P171" s="36"/>
      <c r="Q171" s="37"/>
      <c r="R171" s="38" t="str">
        <f aca="false">IF(Q171&lt;&gt;"",Q171,IF(AND(P171&lt;&gt;"",M171&lt;&gt;""),P171*12*M171,""))</f>
        <v/>
      </c>
      <c r="S171" s="32"/>
      <c r="T171" s="32"/>
      <c r="U171" s="39"/>
      <c r="V171" s="39"/>
      <c r="W171" s="34"/>
      <c r="X171" s="32"/>
      <c r="Y171" s="34"/>
      <c r="Z171" s="40" t="str">
        <f aca="false">IF(OR(V171="",Y171=""),"",V171-Y171)</f>
        <v/>
      </c>
      <c r="AA171" s="41" t="str">
        <f aca="true">IF(V171="","",V171-TODAY())</f>
        <v/>
      </c>
      <c r="AB171" s="42" t="str">
        <f aca="false">IF(V171="","",IF(AA171&lt;0,"Past due",IF(AA171&lt;=90,"0–90 days",IF(AA171&lt;=180,"91–180 days",IF(AA171&lt;=365,"181–365 days","Over a year")))))</f>
        <v/>
      </c>
      <c r="AC171" s="43"/>
      <c r="AD171" s="32"/>
      <c r="AE171" s="32"/>
      <c r="AF171" s="33"/>
      <c r="AG171" s="32"/>
      <c r="AH171" s="33"/>
      <c r="AI171" s="32"/>
      <c r="AJ171" s="33"/>
      <c r="AK171" s="32"/>
      <c r="AL171" s="32"/>
      <c r="AM171" s="33"/>
      <c r="AN171" s="31" t="str">
        <f aca="false">IF(B171="","",IFERROR(INDEX(Lookup!$B$2:$B$3000,MATCH(TRIM(B171),Lookup!$A$2:$A$3000,0)),""))</f>
        <v/>
      </c>
      <c r="AO171" s="42" t="str">
        <f aca="false">IF(B171="","",IF(AN171="","No – will be reviewed","Yes"))</f>
        <v/>
      </c>
      <c r="AP171" s="31" t="str">
        <f aca="false">IF(AN171="","",IFERROR(INDEX(Catalog!$B$5:$B$400,MATCH(AN171,Catalog!$A$5:$A$400,0)),""))</f>
        <v/>
      </c>
      <c r="AQ171" s="31" t="str">
        <f aca="false">IF(AN171="","",IFERROR(INDEX(Catalog!$C$5:$C$400,MATCH(AN171,Catalog!$A$5:$A$400,0)),""))</f>
        <v/>
      </c>
      <c r="AR171" s="31" t="str">
        <f aca="false">IF(AN171="","",IFERROR(INDEX(Catalog!$D$5:$D$400,MATCH(AN171,Catalog!$A$5:$A$400,0)),""))</f>
        <v/>
      </c>
      <c r="AS171" s="31" t="str">
        <f aca="false">IF(AN171="","",IFERROR(INDEX(Catalog!$E$5:$E$400,MATCH(AN171,Catalog!$A$5:$A$400,0)),""))</f>
        <v/>
      </c>
      <c r="AT171" s="44" t="str">
        <f aca="false">IF(AN171="","",IFERROR(INDEX(Catalog!$F$5:$F$400,MATCH(AN171,Catalog!$A$5:$A$400,0)),""))</f>
        <v/>
      </c>
      <c r="AU171" s="31" t="str">
        <f aca="false">IF(AND(B171&lt;&gt;"",ISNUMBER(V171)),V171+ROW()/100000,"")</f>
        <v/>
      </c>
    </row>
    <row r="172" customFormat="false" ht="15" hidden="false" customHeight="false" outlineLevel="0" collapsed="false">
      <c r="A172" s="31" t="str">
        <f aca="false">IF(B172="","",ROW()-5)</f>
        <v/>
      </c>
      <c r="B172" s="32"/>
      <c r="C172" s="32"/>
      <c r="D172" s="32"/>
      <c r="E172" s="32"/>
      <c r="F172" s="32"/>
      <c r="G172" s="32"/>
      <c r="H172" s="33"/>
      <c r="I172" s="33"/>
      <c r="J172" s="32"/>
      <c r="K172" s="33"/>
      <c r="L172" s="32"/>
      <c r="M172" s="34"/>
      <c r="N172" s="34"/>
      <c r="O172" s="35" t="str">
        <f aca="false">IF(OR(M172="",N172="",M172=0),"",N172/M172)</f>
        <v/>
      </c>
      <c r="P172" s="36"/>
      <c r="Q172" s="37"/>
      <c r="R172" s="38" t="str">
        <f aca="false">IF(Q172&lt;&gt;"",Q172,IF(AND(P172&lt;&gt;"",M172&lt;&gt;""),P172*12*M172,""))</f>
        <v/>
      </c>
      <c r="S172" s="32"/>
      <c r="T172" s="32"/>
      <c r="U172" s="39"/>
      <c r="V172" s="39"/>
      <c r="W172" s="34"/>
      <c r="X172" s="32"/>
      <c r="Y172" s="34"/>
      <c r="Z172" s="40" t="str">
        <f aca="false">IF(OR(V172="",Y172=""),"",V172-Y172)</f>
        <v/>
      </c>
      <c r="AA172" s="41" t="str">
        <f aca="true">IF(V172="","",V172-TODAY())</f>
        <v/>
      </c>
      <c r="AB172" s="42" t="str">
        <f aca="false">IF(V172="","",IF(AA172&lt;0,"Past due",IF(AA172&lt;=90,"0–90 days",IF(AA172&lt;=180,"91–180 days",IF(AA172&lt;=365,"181–365 days","Over a year")))))</f>
        <v/>
      </c>
      <c r="AC172" s="43"/>
      <c r="AD172" s="32"/>
      <c r="AE172" s="32"/>
      <c r="AF172" s="33"/>
      <c r="AG172" s="32"/>
      <c r="AH172" s="33"/>
      <c r="AI172" s="32"/>
      <c r="AJ172" s="33"/>
      <c r="AK172" s="32"/>
      <c r="AL172" s="32"/>
      <c r="AM172" s="33"/>
      <c r="AN172" s="31" t="str">
        <f aca="false">IF(B172="","",IFERROR(INDEX(Lookup!$B$2:$B$3000,MATCH(TRIM(B172),Lookup!$A$2:$A$3000,0)),""))</f>
        <v/>
      </c>
      <c r="AO172" s="42" t="str">
        <f aca="false">IF(B172="","",IF(AN172="","No – will be reviewed","Yes"))</f>
        <v/>
      </c>
      <c r="AP172" s="31" t="str">
        <f aca="false">IF(AN172="","",IFERROR(INDEX(Catalog!$B$5:$B$400,MATCH(AN172,Catalog!$A$5:$A$400,0)),""))</f>
        <v/>
      </c>
      <c r="AQ172" s="31" t="str">
        <f aca="false">IF(AN172="","",IFERROR(INDEX(Catalog!$C$5:$C$400,MATCH(AN172,Catalog!$A$5:$A$400,0)),""))</f>
        <v/>
      </c>
      <c r="AR172" s="31" t="str">
        <f aca="false">IF(AN172="","",IFERROR(INDEX(Catalog!$D$5:$D$400,MATCH(AN172,Catalog!$A$5:$A$400,0)),""))</f>
        <v/>
      </c>
      <c r="AS172" s="31" t="str">
        <f aca="false">IF(AN172="","",IFERROR(INDEX(Catalog!$E$5:$E$400,MATCH(AN172,Catalog!$A$5:$A$400,0)),""))</f>
        <v/>
      </c>
      <c r="AT172" s="44" t="str">
        <f aca="false">IF(AN172="","",IFERROR(INDEX(Catalog!$F$5:$F$400,MATCH(AN172,Catalog!$A$5:$A$400,0)),""))</f>
        <v/>
      </c>
      <c r="AU172" s="31" t="str">
        <f aca="false">IF(AND(B172&lt;&gt;"",ISNUMBER(V172)),V172+ROW()/100000,"")</f>
        <v/>
      </c>
    </row>
    <row r="173" customFormat="false" ht="15" hidden="false" customHeight="false" outlineLevel="0" collapsed="false">
      <c r="A173" s="31" t="str">
        <f aca="false">IF(B173="","",ROW()-5)</f>
        <v/>
      </c>
      <c r="B173" s="32"/>
      <c r="C173" s="32"/>
      <c r="D173" s="32"/>
      <c r="E173" s="32"/>
      <c r="F173" s="32"/>
      <c r="G173" s="32"/>
      <c r="H173" s="33"/>
      <c r="I173" s="33"/>
      <c r="J173" s="32"/>
      <c r="K173" s="33"/>
      <c r="L173" s="32"/>
      <c r="M173" s="34"/>
      <c r="N173" s="34"/>
      <c r="O173" s="35" t="str">
        <f aca="false">IF(OR(M173="",N173="",M173=0),"",N173/M173)</f>
        <v/>
      </c>
      <c r="P173" s="36"/>
      <c r="Q173" s="37"/>
      <c r="R173" s="38" t="str">
        <f aca="false">IF(Q173&lt;&gt;"",Q173,IF(AND(P173&lt;&gt;"",M173&lt;&gt;""),P173*12*M173,""))</f>
        <v/>
      </c>
      <c r="S173" s="32"/>
      <c r="T173" s="32"/>
      <c r="U173" s="39"/>
      <c r="V173" s="39"/>
      <c r="W173" s="34"/>
      <c r="X173" s="32"/>
      <c r="Y173" s="34"/>
      <c r="Z173" s="40" t="str">
        <f aca="false">IF(OR(V173="",Y173=""),"",V173-Y173)</f>
        <v/>
      </c>
      <c r="AA173" s="41" t="str">
        <f aca="true">IF(V173="","",V173-TODAY())</f>
        <v/>
      </c>
      <c r="AB173" s="42" t="str">
        <f aca="false">IF(V173="","",IF(AA173&lt;0,"Past due",IF(AA173&lt;=90,"0–90 days",IF(AA173&lt;=180,"91–180 days",IF(AA173&lt;=365,"181–365 days","Over a year")))))</f>
        <v/>
      </c>
      <c r="AC173" s="43"/>
      <c r="AD173" s="32"/>
      <c r="AE173" s="32"/>
      <c r="AF173" s="33"/>
      <c r="AG173" s="32"/>
      <c r="AH173" s="33"/>
      <c r="AI173" s="32"/>
      <c r="AJ173" s="33"/>
      <c r="AK173" s="32"/>
      <c r="AL173" s="32"/>
      <c r="AM173" s="33"/>
      <c r="AN173" s="31" t="str">
        <f aca="false">IF(B173="","",IFERROR(INDEX(Lookup!$B$2:$B$3000,MATCH(TRIM(B173),Lookup!$A$2:$A$3000,0)),""))</f>
        <v/>
      </c>
      <c r="AO173" s="42" t="str">
        <f aca="false">IF(B173="","",IF(AN173="","No – will be reviewed","Yes"))</f>
        <v/>
      </c>
      <c r="AP173" s="31" t="str">
        <f aca="false">IF(AN173="","",IFERROR(INDEX(Catalog!$B$5:$B$400,MATCH(AN173,Catalog!$A$5:$A$400,0)),""))</f>
        <v/>
      </c>
      <c r="AQ173" s="31" t="str">
        <f aca="false">IF(AN173="","",IFERROR(INDEX(Catalog!$C$5:$C$400,MATCH(AN173,Catalog!$A$5:$A$400,0)),""))</f>
        <v/>
      </c>
      <c r="AR173" s="31" t="str">
        <f aca="false">IF(AN173="","",IFERROR(INDEX(Catalog!$D$5:$D$400,MATCH(AN173,Catalog!$A$5:$A$400,0)),""))</f>
        <v/>
      </c>
      <c r="AS173" s="31" t="str">
        <f aca="false">IF(AN173="","",IFERROR(INDEX(Catalog!$E$5:$E$400,MATCH(AN173,Catalog!$A$5:$A$400,0)),""))</f>
        <v/>
      </c>
      <c r="AT173" s="44" t="str">
        <f aca="false">IF(AN173="","",IFERROR(INDEX(Catalog!$F$5:$F$400,MATCH(AN173,Catalog!$A$5:$A$400,0)),""))</f>
        <v/>
      </c>
      <c r="AU173" s="31" t="str">
        <f aca="false">IF(AND(B173&lt;&gt;"",ISNUMBER(V173)),V173+ROW()/100000,"")</f>
        <v/>
      </c>
    </row>
    <row r="174" customFormat="false" ht="15" hidden="false" customHeight="false" outlineLevel="0" collapsed="false">
      <c r="A174" s="31" t="str">
        <f aca="false">IF(B174="","",ROW()-5)</f>
        <v/>
      </c>
      <c r="B174" s="32"/>
      <c r="C174" s="32"/>
      <c r="D174" s="32"/>
      <c r="E174" s="32"/>
      <c r="F174" s="32"/>
      <c r="G174" s="32"/>
      <c r="H174" s="33"/>
      <c r="I174" s="33"/>
      <c r="J174" s="32"/>
      <c r="K174" s="33"/>
      <c r="L174" s="32"/>
      <c r="M174" s="34"/>
      <c r="N174" s="34"/>
      <c r="O174" s="35" t="str">
        <f aca="false">IF(OR(M174="",N174="",M174=0),"",N174/M174)</f>
        <v/>
      </c>
      <c r="P174" s="36"/>
      <c r="Q174" s="37"/>
      <c r="R174" s="38" t="str">
        <f aca="false">IF(Q174&lt;&gt;"",Q174,IF(AND(P174&lt;&gt;"",M174&lt;&gt;""),P174*12*M174,""))</f>
        <v/>
      </c>
      <c r="S174" s="32"/>
      <c r="T174" s="32"/>
      <c r="U174" s="39"/>
      <c r="V174" s="39"/>
      <c r="W174" s="34"/>
      <c r="X174" s="32"/>
      <c r="Y174" s="34"/>
      <c r="Z174" s="40" t="str">
        <f aca="false">IF(OR(V174="",Y174=""),"",V174-Y174)</f>
        <v/>
      </c>
      <c r="AA174" s="41" t="str">
        <f aca="true">IF(V174="","",V174-TODAY())</f>
        <v/>
      </c>
      <c r="AB174" s="42" t="str">
        <f aca="false">IF(V174="","",IF(AA174&lt;0,"Past due",IF(AA174&lt;=90,"0–90 days",IF(AA174&lt;=180,"91–180 days",IF(AA174&lt;=365,"181–365 days","Over a year")))))</f>
        <v/>
      </c>
      <c r="AC174" s="43"/>
      <c r="AD174" s="32"/>
      <c r="AE174" s="32"/>
      <c r="AF174" s="33"/>
      <c r="AG174" s="32"/>
      <c r="AH174" s="33"/>
      <c r="AI174" s="32"/>
      <c r="AJ174" s="33"/>
      <c r="AK174" s="32"/>
      <c r="AL174" s="32"/>
      <c r="AM174" s="33"/>
      <c r="AN174" s="31" t="str">
        <f aca="false">IF(B174="","",IFERROR(INDEX(Lookup!$B$2:$B$3000,MATCH(TRIM(B174),Lookup!$A$2:$A$3000,0)),""))</f>
        <v/>
      </c>
      <c r="AO174" s="42" t="str">
        <f aca="false">IF(B174="","",IF(AN174="","No – will be reviewed","Yes"))</f>
        <v/>
      </c>
      <c r="AP174" s="31" t="str">
        <f aca="false">IF(AN174="","",IFERROR(INDEX(Catalog!$B$5:$B$400,MATCH(AN174,Catalog!$A$5:$A$400,0)),""))</f>
        <v/>
      </c>
      <c r="AQ174" s="31" t="str">
        <f aca="false">IF(AN174="","",IFERROR(INDEX(Catalog!$C$5:$C$400,MATCH(AN174,Catalog!$A$5:$A$400,0)),""))</f>
        <v/>
      </c>
      <c r="AR174" s="31" t="str">
        <f aca="false">IF(AN174="","",IFERROR(INDEX(Catalog!$D$5:$D$400,MATCH(AN174,Catalog!$A$5:$A$400,0)),""))</f>
        <v/>
      </c>
      <c r="AS174" s="31" t="str">
        <f aca="false">IF(AN174="","",IFERROR(INDEX(Catalog!$E$5:$E$400,MATCH(AN174,Catalog!$A$5:$A$400,0)),""))</f>
        <v/>
      </c>
      <c r="AT174" s="44" t="str">
        <f aca="false">IF(AN174="","",IFERROR(INDEX(Catalog!$F$5:$F$400,MATCH(AN174,Catalog!$A$5:$A$400,0)),""))</f>
        <v/>
      </c>
      <c r="AU174" s="31" t="str">
        <f aca="false">IF(AND(B174&lt;&gt;"",ISNUMBER(V174)),V174+ROW()/100000,"")</f>
        <v/>
      </c>
    </row>
    <row r="175" customFormat="false" ht="15" hidden="false" customHeight="false" outlineLevel="0" collapsed="false">
      <c r="A175" s="31" t="str">
        <f aca="false">IF(B175="","",ROW()-5)</f>
        <v/>
      </c>
      <c r="B175" s="32"/>
      <c r="C175" s="32"/>
      <c r="D175" s="32"/>
      <c r="E175" s="32"/>
      <c r="F175" s="32"/>
      <c r="G175" s="32"/>
      <c r="H175" s="33"/>
      <c r="I175" s="33"/>
      <c r="J175" s="32"/>
      <c r="K175" s="33"/>
      <c r="L175" s="32"/>
      <c r="M175" s="34"/>
      <c r="N175" s="34"/>
      <c r="O175" s="35" t="str">
        <f aca="false">IF(OR(M175="",N175="",M175=0),"",N175/M175)</f>
        <v/>
      </c>
      <c r="P175" s="36"/>
      <c r="Q175" s="37"/>
      <c r="R175" s="38" t="str">
        <f aca="false">IF(Q175&lt;&gt;"",Q175,IF(AND(P175&lt;&gt;"",M175&lt;&gt;""),P175*12*M175,""))</f>
        <v/>
      </c>
      <c r="S175" s="32"/>
      <c r="T175" s="32"/>
      <c r="U175" s="39"/>
      <c r="V175" s="39"/>
      <c r="W175" s="34"/>
      <c r="X175" s="32"/>
      <c r="Y175" s="34"/>
      <c r="Z175" s="40" t="str">
        <f aca="false">IF(OR(V175="",Y175=""),"",V175-Y175)</f>
        <v/>
      </c>
      <c r="AA175" s="41" t="str">
        <f aca="true">IF(V175="","",V175-TODAY())</f>
        <v/>
      </c>
      <c r="AB175" s="42" t="str">
        <f aca="false">IF(V175="","",IF(AA175&lt;0,"Past due",IF(AA175&lt;=90,"0–90 days",IF(AA175&lt;=180,"91–180 days",IF(AA175&lt;=365,"181–365 days","Over a year")))))</f>
        <v/>
      </c>
      <c r="AC175" s="43"/>
      <c r="AD175" s="32"/>
      <c r="AE175" s="32"/>
      <c r="AF175" s="33"/>
      <c r="AG175" s="32"/>
      <c r="AH175" s="33"/>
      <c r="AI175" s="32"/>
      <c r="AJ175" s="33"/>
      <c r="AK175" s="32"/>
      <c r="AL175" s="32"/>
      <c r="AM175" s="33"/>
      <c r="AN175" s="31" t="str">
        <f aca="false">IF(B175="","",IFERROR(INDEX(Lookup!$B$2:$B$3000,MATCH(TRIM(B175),Lookup!$A$2:$A$3000,0)),""))</f>
        <v/>
      </c>
      <c r="AO175" s="42" t="str">
        <f aca="false">IF(B175="","",IF(AN175="","No – will be reviewed","Yes"))</f>
        <v/>
      </c>
      <c r="AP175" s="31" t="str">
        <f aca="false">IF(AN175="","",IFERROR(INDEX(Catalog!$B$5:$B$400,MATCH(AN175,Catalog!$A$5:$A$400,0)),""))</f>
        <v/>
      </c>
      <c r="AQ175" s="31" t="str">
        <f aca="false">IF(AN175="","",IFERROR(INDEX(Catalog!$C$5:$C$400,MATCH(AN175,Catalog!$A$5:$A$400,0)),""))</f>
        <v/>
      </c>
      <c r="AR175" s="31" t="str">
        <f aca="false">IF(AN175="","",IFERROR(INDEX(Catalog!$D$5:$D$400,MATCH(AN175,Catalog!$A$5:$A$400,0)),""))</f>
        <v/>
      </c>
      <c r="AS175" s="31" t="str">
        <f aca="false">IF(AN175="","",IFERROR(INDEX(Catalog!$E$5:$E$400,MATCH(AN175,Catalog!$A$5:$A$400,0)),""))</f>
        <v/>
      </c>
      <c r="AT175" s="44" t="str">
        <f aca="false">IF(AN175="","",IFERROR(INDEX(Catalog!$F$5:$F$400,MATCH(AN175,Catalog!$A$5:$A$400,0)),""))</f>
        <v/>
      </c>
      <c r="AU175" s="31" t="str">
        <f aca="false">IF(AND(B175&lt;&gt;"",ISNUMBER(V175)),V175+ROW()/100000,"")</f>
        <v/>
      </c>
    </row>
    <row r="176" customFormat="false" ht="15" hidden="false" customHeight="false" outlineLevel="0" collapsed="false">
      <c r="A176" s="31" t="str">
        <f aca="false">IF(B176="","",ROW()-5)</f>
        <v/>
      </c>
      <c r="B176" s="32"/>
      <c r="C176" s="32"/>
      <c r="D176" s="32"/>
      <c r="E176" s="32"/>
      <c r="F176" s="32"/>
      <c r="G176" s="32"/>
      <c r="H176" s="33"/>
      <c r="I176" s="33"/>
      <c r="J176" s="32"/>
      <c r="K176" s="33"/>
      <c r="L176" s="32"/>
      <c r="M176" s="34"/>
      <c r="N176" s="34"/>
      <c r="O176" s="35" t="str">
        <f aca="false">IF(OR(M176="",N176="",M176=0),"",N176/M176)</f>
        <v/>
      </c>
      <c r="P176" s="36"/>
      <c r="Q176" s="37"/>
      <c r="R176" s="38" t="str">
        <f aca="false">IF(Q176&lt;&gt;"",Q176,IF(AND(P176&lt;&gt;"",M176&lt;&gt;""),P176*12*M176,""))</f>
        <v/>
      </c>
      <c r="S176" s="32"/>
      <c r="T176" s="32"/>
      <c r="U176" s="39"/>
      <c r="V176" s="39"/>
      <c r="W176" s="34"/>
      <c r="X176" s="32"/>
      <c r="Y176" s="34"/>
      <c r="Z176" s="40" t="str">
        <f aca="false">IF(OR(V176="",Y176=""),"",V176-Y176)</f>
        <v/>
      </c>
      <c r="AA176" s="41" t="str">
        <f aca="true">IF(V176="","",V176-TODAY())</f>
        <v/>
      </c>
      <c r="AB176" s="42" t="str">
        <f aca="false">IF(V176="","",IF(AA176&lt;0,"Past due",IF(AA176&lt;=90,"0–90 days",IF(AA176&lt;=180,"91–180 days",IF(AA176&lt;=365,"181–365 days","Over a year")))))</f>
        <v/>
      </c>
      <c r="AC176" s="43"/>
      <c r="AD176" s="32"/>
      <c r="AE176" s="32"/>
      <c r="AF176" s="33"/>
      <c r="AG176" s="32"/>
      <c r="AH176" s="33"/>
      <c r="AI176" s="32"/>
      <c r="AJ176" s="33"/>
      <c r="AK176" s="32"/>
      <c r="AL176" s="32"/>
      <c r="AM176" s="33"/>
      <c r="AN176" s="31" t="str">
        <f aca="false">IF(B176="","",IFERROR(INDEX(Lookup!$B$2:$B$3000,MATCH(TRIM(B176),Lookup!$A$2:$A$3000,0)),""))</f>
        <v/>
      </c>
      <c r="AO176" s="42" t="str">
        <f aca="false">IF(B176="","",IF(AN176="","No – will be reviewed","Yes"))</f>
        <v/>
      </c>
      <c r="AP176" s="31" t="str">
        <f aca="false">IF(AN176="","",IFERROR(INDEX(Catalog!$B$5:$B$400,MATCH(AN176,Catalog!$A$5:$A$400,0)),""))</f>
        <v/>
      </c>
      <c r="AQ176" s="31" t="str">
        <f aca="false">IF(AN176="","",IFERROR(INDEX(Catalog!$C$5:$C$400,MATCH(AN176,Catalog!$A$5:$A$400,0)),""))</f>
        <v/>
      </c>
      <c r="AR176" s="31" t="str">
        <f aca="false">IF(AN176="","",IFERROR(INDEX(Catalog!$D$5:$D$400,MATCH(AN176,Catalog!$A$5:$A$400,0)),""))</f>
        <v/>
      </c>
      <c r="AS176" s="31" t="str">
        <f aca="false">IF(AN176="","",IFERROR(INDEX(Catalog!$E$5:$E$400,MATCH(AN176,Catalog!$A$5:$A$400,0)),""))</f>
        <v/>
      </c>
      <c r="AT176" s="44" t="str">
        <f aca="false">IF(AN176="","",IFERROR(INDEX(Catalog!$F$5:$F$400,MATCH(AN176,Catalog!$A$5:$A$400,0)),""))</f>
        <v/>
      </c>
      <c r="AU176" s="31" t="str">
        <f aca="false">IF(AND(B176&lt;&gt;"",ISNUMBER(V176)),V176+ROW()/100000,"")</f>
        <v/>
      </c>
    </row>
    <row r="177" customFormat="false" ht="15" hidden="false" customHeight="false" outlineLevel="0" collapsed="false">
      <c r="A177" s="31" t="str">
        <f aca="false">IF(B177="","",ROW()-5)</f>
        <v/>
      </c>
      <c r="B177" s="32"/>
      <c r="C177" s="32"/>
      <c r="D177" s="32"/>
      <c r="E177" s="32"/>
      <c r="F177" s="32"/>
      <c r="G177" s="32"/>
      <c r="H177" s="33"/>
      <c r="I177" s="33"/>
      <c r="J177" s="32"/>
      <c r="K177" s="33"/>
      <c r="L177" s="32"/>
      <c r="M177" s="34"/>
      <c r="N177" s="34"/>
      <c r="O177" s="35" t="str">
        <f aca="false">IF(OR(M177="",N177="",M177=0),"",N177/M177)</f>
        <v/>
      </c>
      <c r="P177" s="36"/>
      <c r="Q177" s="37"/>
      <c r="R177" s="38" t="str">
        <f aca="false">IF(Q177&lt;&gt;"",Q177,IF(AND(P177&lt;&gt;"",M177&lt;&gt;""),P177*12*M177,""))</f>
        <v/>
      </c>
      <c r="S177" s="32"/>
      <c r="T177" s="32"/>
      <c r="U177" s="39"/>
      <c r="V177" s="39"/>
      <c r="W177" s="34"/>
      <c r="X177" s="32"/>
      <c r="Y177" s="34"/>
      <c r="Z177" s="40" t="str">
        <f aca="false">IF(OR(V177="",Y177=""),"",V177-Y177)</f>
        <v/>
      </c>
      <c r="AA177" s="41" t="str">
        <f aca="true">IF(V177="","",V177-TODAY())</f>
        <v/>
      </c>
      <c r="AB177" s="42" t="str">
        <f aca="false">IF(V177="","",IF(AA177&lt;0,"Past due",IF(AA177&lt;=90,"0–90 days",IF(AA177&lt;=180,"91–180 days",IF(AA177&lt;=365,"181–365 days","Over a year")))))</f>
        <v/>
      </c>
      <c r="AC177" s="43"/>
      <c r="AD177" s="32"/>
      <c r="AE177" s="32"/>
      <c r="AF177" s="33"/>
      <c r="AG177" s="32"/>
      <c r="AH177" s="33"/>
      <c r="AI177" s="32"/>
      <c r="AJ177" s="33"/>
      <c r="AK177" s="32"/>
      <c r="AL177" s="32"/>
      <c r="AM177" s="33"/>
      <c r="AN177" s="31" t="str">
        <f aca="false">IF(B177="","",IFERROR(INDEX(Lookup!$B$2:$B$3000,MATCH(TRIM(B177),Lookup!$A$2:$A$3000,0)),""))</f>
        <v/>
      </c>
      <c r="AO177" s="42" t="str">
        <f aca="false">IF(B177="","",IF(AN177="","No – will be reviewed","Yes"))</f>
        <v/>
      </c>
      <c r="AP177" s="31" t="str">
        <f aca="false">IF(AN177="","",IFERROR(INDEX(Catalog!$B$5:$B$400,MATCH(AN177,Catalog!$A$5:$A$400,0)),""))</f>
        <v/>
      </c>
      <c r="AQ177" s="31" t="str">
        <f aca="false">IF(AN177="","",IFERROR(INDEX(Catalog!$C$5:$C$400,MATCH(AN177,Catalog!$A$5:$A$400,0)),""))</f>
        <v/>
      </c>
      <c r="AR177" s="31" t="str">
        <f aca="false">IF(AN177="","",IFERROR(INDEX(Catalog!$D$5:$D$400,MATCH(AN177,Catalog!$A$5:$A$400,0)),""))</f>
        <v/>
      </c>
      <c r="AS177" s="31" t="str">
        <f aca="false">IF(AN177="","",IFERROR(INDEX(Catalog!$E$5:$E$400,MATCH(AN177,Catalog!$A$5:$A$400,0)),""))</f>
        <v/>
      </c>
      <c r="AT177" s="44" t="str">
        <f aca="false">IF(AN177="","",IFERROR(INDEX(Catalog!$F$5:$F$400,MATCH(AN177,Catalog!$A$5:$A$400,0)),""))</f>
        <v/>
      </c>
      <c r="AU177" s="31" t="str">
        <f aca="false">IF(AND(B177&lt;&gt;"",ISNUMBER(V177)),V177+ROW()/100000,"")</f>
        <v/>
      </c>
    </row>
    <row r="178" customFormat="false" ht="15" hidden="false" customHeight="false" outlineLevel="0" collapsed="false">
      <c r="A178" s="31" t="str">
        <f aca="false">IF(B178="","",ROW()-5)</f>
        <v/>
      </c>
      <c r="B178" s="32"/>
      <c r="C178" s="32"/>
      <c r="D178" s="32"/>
      <c r="E178" s="32"/>
      <c r="F178" s="32"/>
      <c r="G178" s="32"/>
      <c r="H178" s="33"/>
      <c r="I178" s="33"/>
      <c r="J178" s="32"/>
      <c r="K178" s="33"/>
      <c r="L178" s="32"/>
      <c r="M178" s="34"/>
      <c r="N178" s="34"/>
      <c r="O178" s="35" t="str">
        <f aca="false">IF(OR(M178="",N178="",M178=0),"",N178/M178)</f>
        <v/>
      </c>
      <c r="P178" s="36"/>
      <c r="Q178" s="37"/>
      <c r="R178" s="38" t="str">
        <f aca="false">IF(Q178&lt;&gt;"",Q178,IF(AND(P178&lt;&gt;"",M178&lt;&gt;""),P178*12*M178,""))</f>
        <v/>
      </c>
      <c r="S178" s="32"/>
      <c r="T178" s="32"/>
      <c r="U178" s="39"/>
      <c r="V178" s="39"/>
      <c r="W178" s="34"/>
      <c r="X178" s="32"/>
      <c r="Y178" s="34"/>
      <c r="Z178" s="40" t="str">
        <f aca="false">IF(OR(V178="",Y178=""),"",V178-Y178)</f>
        <v/>
      </c>
      <c r="AA178" s="41" t="str">
        <f aca="true">IF(V178="","",V178-TODAY())</f>
        <v/>
      </c>
      <c r="AB178" s="42" t="str">
        <f aca="false">IF(V178="","",IF(AA178&lt;0,"Past due",IF(AA178&lt;=90,"0–90 days",IF(AA178&lt;=180,"91–180 days",IF(AA178&lt;=365,"181–365 days","Over a year")))))</f>
        <v/>
      </c>
      <c r="AC178" s="43"/>
      <c r="AD178" s="32"/>
      <c r="AE178" s="32"/>
      <c r="AF178" s="33"/>
      <c r="AG178" s="32"/>
      <c r="AH178" s="33"/>
      <c r="AI178" s="32"/>
      <c r="AJ178" s="33"/>
      <c r="AK178" s="32"/>
      <c r="AL178" s="32"/>
      <c r="AM178" s="33"/>
      <c r="AN178" s="31" t="str">
        <f aca="false">IF(B178="","",IFERROR(INDEX(Lookup!$B$2:$B$3000,MATCH(TRIM(B178),Lookup!$A$2:$A$3000,0)),""))</f>
        <v/>
      </c>
      <c r="AO178" s="42" t="str">
        <f aca="false">IF(B178="","",IF(AN178="","No – will be reviewed","Yes"))</f>
        <v/>
      </c>
      <c r="AP178" s="31" t="str">
        <f aca="false">IF(AN178="","",IFERROR(INDEX(Catalog!$B$5:$B$400,MATCH(AN178,Catalog!$A$5:$A$400,0)),""))</f>
        <v/>
      </c>
      <c r="AQ178" s="31" t="str">
        <f aca="false">IF(AN178="","",IFERROR(INDEX(Catalog!$C$5:$C$400,MATCH(AN178,Catalog!$A$5:$A$400,0)),""))</f>
        <v/>
      </c>
      <c r="AR178" s="31" t="str">
        <f aca="false">IF(AN178="","",IFERROR(INDEX(Catalog!$D$5:$D$400,MATCH(AN178,Catalog!$A$5:$A$400,0)),""))</f>
        <v/>
      </c>
      <c r="AS178" s="31" t="str">
        <f aca="false">IF(AN178="","",IFERROR(INDEX(Catalog!$E$5:$E$400,MATCH(AN178,Catalog!$A$5:$A$400,0)),""))</f>
        <v/>
      </c>
      <c r="AT178" s="44" t="str">
        <f aca="false">IF(AN178="","",IFERROR(INDEX(Catalog!$F$5:$F$400,MATCH(AN178,Catalog!$A$5:$A$400,0)),""))</f>
        <v/>
      </c>
      <c r="AU178" s="31" t="str">
        <f aca="false">IF(AND(B178&lt;&gt;"",ISNUMBER(V178)),V178+ROW()/100000,"")</f>
        <v/>
      </c>
    </row>
    <row r="179" customFormat="false" ht="15" hidden="false" customHeight="false" outlineLevel="0" collapsed="false">
      <c r="A179" s="31" t="str">
        <f aca="false">IF(B179="","",ROW()-5)</f>
        <v/>
      </c>
      <c r="B179" s="32"/>
      <c r="C179" s="32"/>
      <c r="D179" s="32"/>
      <c r="E179" s="32"/>
      <c r="F179" s="32"/>
      <c r="G179" s="32"/>
      <c r="H179" s="33"/>
      <c r="I179" s="33"/>
      <c r="J179" s="32"/>
      <c r="K179" s="33"/>
      <c r="L179" s="32"/>
      <c r="M179" s="34"/>
      <c r="N179" s="34"/>
      <c r="O179" s="35" t="str">
        <f aca="false">IF(OR(M179="",N179="",M179=0),"",N179/M179)</f>
        <v/>
      </c>
      <c r="P179" s="36"/>
      <c r="Q179" s="37"/>
      <c r="R179" s="38" t="str">
        <f aca="false">IF(Q179&lt;&gt;"",Q179,IF(AND(P179&lt;&gt;"",M179&lt;&gt;""),P179*12*M179,""))</f>
        <v/>
      </c>
      <c r="S179" s="32"/>
      <c r="T179" s="32"/>
      <c r="U179" s="39"/>
      <c r="V179" s="39"/>
      <c r="W179" s="34"/>
      <c r="X179" s="32"/>
      <c r="Y179" s="34"/>
      <c r="Z179" s="40" t="str">
        <f aca="false">IF(OR(V179="",Y179=""),"",V179-Y179)</f>
        <v/>
      </c>
      <c r="AA179" s="41" t="str">
        <f aca="true">IF(V179="","",V179-TODAY())</f>
        <v/>
      </c>
      <c r="AB179" s="42" t="str">
        <f aca="false">IF(V179="","",IF(AA179&lt;0,"Past due",IF(AA179&lt;=90,"0–90 days",IF(AA179&lt;=180,"91–180 days",IF(AA179&lt;=365,"181–365 days","Over a year")))))</f>
        <v/>
      </c>
      <c r="AC179" s="43"/>
      <c r="AD179" s="32"/>
      <c r="AE179" s="32"/>
      <c r="AF179" s="33"/>
      <c r="AG179" s="32"/>
      <c r="AH179" s="33"/>
      <c r="AI179" s="32"/>
      <c r="AJ179" s="33"/>
      <c r="AK179" s="32"/>
      <c r="AL179" s="32"/>
      <c r="AM179" s="33"/>
      <c r="AN179" s="31" t="str">
        <f aca="false">IF(B179="","",IFERROR(INDEX(Lookup!$B$2:$B$3000,MATCH(TRIM(B179),Lookup!$A$2:$A$3000,0)),""))</f>
        <v/>
      </c>
      <c r="AO179" s="42" t="str">
        <f aca="false">IF(B179="","",IF(AN179="","No – will be reviewed","Yes"))</f>
        <v/>
      </c>
      <c r="AP179" s="31" t="str">
        <f aca="false">IF(AN179="","",IFERROR(INDEX(Catalog!$B$5:$B$400,MATCH(AN179,Catalog!$A$5:$A$400,0)),""))</f>
        <v/>
      </c>
      <c r="AQ179" s="31" t="str">
        <f aca="false">IF(AN179="","",IFERROR(INDEX(Catalog!$C$5:$C$400,MATCH(AN179,Catalog!$A$5:$A$400,0)),""))</f>
        <v/>
      </c>
      <c r="AR179" s="31" t="str">
        <f aca="false">IF(AN179="","",IFERROR(INDEX(Catalog!$D$5:$D$400,MATCH(AN179,Catalog!$A$5:$A$400,0)),""))</f>
        <v/>
      </c>
      <c r="AS179" s="31" t="str">
        <f aca="false">IF(AN179="","",IFERROR(INDEX(Catalog!$E$5:$E$400,MATCH(AN179,Catalog!$A$5:$A$400,0)),""))</f>
        <v/>
      </c>
      <c r="AT179" s="44" t="str">
        <f aca="false">IF(AN179="","",IFERROR(INDEX(Catalog!$F$5:$F$400,MATCH(AN179,Catalog!$A$5:$A$400,0)),""))</f>
        <v/>
      </c>
      <c r="AU179" s="31" t="str">
        <f aca="false">IF(AND(B179&lt;&gt;"",ISNUMBER(V179)),V179+ROW()/100000,"")</f>
        <v/>
      </c>
    </row>
    <row r="180" customFormat="false" ht="15" hidden="false" customHeight="false" outlineLevel="0" collapsed="false">
      <c r="A180" s="31" t="str">
        <f aca="false">IF(B180="","",ROW()-5)</f>
        <v/>
      </c>
      <c r="B180" s="32"/>
      <c r="C180" s="32"/>
      <c r="D180" s="32"/>
      <c r="E180" s="32"/>
      <c r="F180" s="32"/>
      <c r="G180" s="32"/>
      <c r="H180" s="33"/>
      <c r="I180" s="33"/>
      <c r="J180" s="32"/>
      <c r="K180" s="33"/>
      <c r="L180" s="32"/>
      <c r="M180" s="34"/>
      <c r="N180" s="34"/>
      <c r="O180" s="35" t="str">
        <f aca="false">IF(OR(M180="",N180="",M180=0),"",N180/M180)</f>
        <v/>
      </c>
      <c r="P180" s="36"/>
      <c r="Q180" s="37"/>
      <c r="R180" s="38" t="str">
        <f aca="false">IF(Q180&lt;&gt;"",Q180,IF(AND(P180&lt;&gt;"",M180&lt;&gt;""),P180*12*M180,""))</f>
        <v/>
      </c>
      <c r="S180" s="32"/>
      <c r="T180" s="32"/>
      <c r="U180" s="39"/>
      <c r="V180" s="39"/>
      <c r="W180" s="34"/>
      <c r="X180" s="32"/>
      <c r="Y180" s="34"/>
      <c r="Z180" s="40" t="str">
        <f aca="false">IF(OR(V180="",Y180=""),"",V180-Y180)</f>
        <v/>
      </c>
      <c r="AA180" s="41" t="str">
        <f aca="true">IF(V180="","",V180-TODAY())</f>
        <v/>
      </c>
      <c r="AB180" s="42" t="str">
        <f aca="false">IF(V180="","",IF(AA180&lt;0,"Past due",IF(AA180&lt;=90,"0–90 days",IF(AA180&lt;=180,"91–180 days",IF(AA180&lt;=365,"181–365 days","Over a year")))))</f>
        <v/>
      </c>
      <c r="AC180" s="43"/>
      <c r="AD180" s="32"/>
      <c r="AE180" s="32"/>
      <c r="AF180" s="33"/>
      <c r="AG180" s="32"/>
      <c r="AH180" s="33"/>
      <c r="AI180" s="32"/>
      <c r="AJ180" s="33"/>
      <c r="AK180" s="32"/>
      <c r="AL180" s="32"/>
      <c r="AM180" s="33"/>
      <c r="AN180" s="31" t="str">
        <f aca="false">IF(B180="","",IFERROR(INDEX(Lookup!$B$2:$B$3000,MATCH(TRIM(B180),Lookup!$A$2:$A$3000,0)),""))</f>
        <v/>
      </c>
      <c r="AO180" s="42" t="str">
        <f aca="false">IF(B180="","",IF(AN180="","No – will be reviewed","Yes"))</f>
        <v/>
      </c>
      <c r="AP180" s="31" t="str">
        <f aca="false">IF(AN180="","",IFERROR(INDEX(Catalog!$B$5:$B$400,MATCH(AN180,Catalog!$A$5:$A$400,0)),""))</f>
        <v/>
      </c>
      <c r="AQ180" s="31" t="str">
        <f aca="false">IF(AN180="","",IFERROR(INDEX(Catalog!$C$5:$C$400,MATCH(AN180,Catalog!$A$5:$A$400,0)),""))</f>
        <v/>
      </c>
      <c r="AR180" s="31" t="str">
        <f aca="false">IF(AN180="","",IFERROR(INDEX(Catalog!$D$5:$D$400,MATCH(AN180,Catalog!$A$5:$A$400,0)),""))</f>
        <v/>
      </c>
      <c r="AS180" s="31" t="str">
        <f aca="false">IF(AN180="","",IFERROR(INDEX(Catalog!$E$5:$E$400,MATCH(AN180,Catalog!$A$5:$A$400,0)),""))</f>
        <v/>
      </c>
      <c r="AT180" s="44" t="str">
        <f aca="false">IF(AN180="","",IFERROR(INDEX(Catalog!$F$5:$F$400,MATCH(AN180,Catalog!$A$5:$A$400,0)),""))</f>
        <v/>
      </c>
      <c r="AU180" s="31" t="str">
        <f aca="false">IF(AND(B180&lt;&gt;"",ISNUMBER(V180)),V180+ROW()/100000,"")</f>
        <v/>
      </c>
    </row>
    <row r="181" customFormat="false" ht="15" hidden="false" customHeight="false" outlineLevel="0" collapsed="false">
      <c r="A181" s="31" t="str">
        <f aca="false">IF(B181="","",ROW()-5)</f>
        <v/>
      </c>
      <c r="B181" s="32"/>
      <c r="C181" s="32"/>
      <c r="D181" s="32"/>
      <c r="E181" s="32"/>
      <c r="F181" s="32"/>
      <c r="G181" s="32"/>
      <c r="H181" s="33"/>
      <c r="I181" s="33"/>
      <c r="J181" s="32"/>
      <c r="K181" s="33"/>
      <c r="L181" s="32"/>
      <c r="M181" s="34"/>
      <c r="N181" s="34"/>
      <c r="O181" s="35" t="str">
        <f aca="false">IF(OR(M181="",N181="",M181=0),"",N181/M181)</f>
        <v/>
      </c>
      <c r="P181" s="36"/>
      <c r="Q181" s="37"/>
      <c r="R181" s="38" t="str">
        <f aca="false">IF(Q181&lt;&gt;"",Q181,IF(AND(P181&lt;&gt;"",M181&lt;&gt;""),P181*12*M181,""))</f>
        <v/>
      </c>
      <c r="S181" s="32"/>
      <c r="T181" s="32"/>
      <c r="U181" s="39"/>
      <c r="V181" s="39"/>
      <c r="W181" s="34"/>
      <c r="X181" s="32"/>
      <c r="Y181" s="34"/>
      <c r="Z181" s="40" t="str">
        <f aca="false">IF(OR(V181="",Y181=""),"",V181-Y181)</f>
        <v/>
      </c>
      <c r="AA181" s="41" t="str">
        <f aca="true">IF(V181="","",V181-TODAY())</f>
        <v/>
      </c>
      <c r="AB181" s="42" t="str">
        <f aca="false">IF(V181="","",IF(AA181&lt;0,"Past due",IF(AA181&lt;=90,"0–90 days",IF(AA181&lt;=180,"91–180 days",IF(AA181&lt;=365,"181–365 days","Over a year")))))</f>
        <v/>
      </c>
      <c r="AC181" s="43"/>
      <c r="AD181" s="32"/>
      <c r="AE181" s="32"/>
      <c r="AF181" s="33"/>
      <c r="AG181" s="32"/>
      <c r="AH181" s="33"/>
      <c r="AI181" s="32"/>
      <c r="AJ181" s="33"/>
      <c r="AK181" s="32"/>
      <c r="AL181" s="32"/>
      <c r="AM181" s="33"/>
      <c r="AN181" s="31" t="str">
        <f aca="false">IF(B181="","",IFERROR(INDEX(Lookup!$B$2:$B$3000,MATCH(TRIM(B181),Lookup!$A$2:$A$3000,0)),""))</f>
        <v/>
      </c>
      <c r="AO181" s="42" t="str">
        <f aca="false">IF(B181="","",IF(AN181="","No – will be reviewed","Yes"))</f>
        <v/>
      </c>
      <c r="AP181" s="31" t="str">
        <f aca="false">IF(AN181="","",IFERROR(INDEX(Catalog!$B$5:$B$400,MATCH(AN181,Catalog!$A$5:$A$400,0)),""))</f>
        <v/>
      </c>
      <c r="AQ181" s="31" t="str">
        <f aca="false">IF(AN181="","",IFERROR(INDEX(Catalog!$C$5:$C$400,MATCH(AN181,Catalog!$A$5:$A$400,0)),""))</f>
        <v/>
      </c>
      <c r="AR181" s="31" t="str">
        <f aca="false">IF(AN181="","",IFERROR(INDEX(Catalog!$D$5:$D$400,MATCH(AN181,Catalog!$A$5:$A$400,0)),""))</f>
        <v/>
      </c>
      <c r="AS181" s="31" t="str">
        <f aca="false">IF(AN181="","",IFERROR(INDEX(Catalog!$E$5:$E$400,MATCH(AN181,Catalog!$A$5:$A$400,0)),""))</f>
        <v/>
      </c>
      <c r="AT181" s="44" t="str">
        <f aca="false">IF(AN181="","",IFERROR(INDEX(Catalog!$F$5:$F$400,MATCH(AN181,Catalog!$A$5:$A$400,0)),""))</f>
        <v/>
      </c>
      <c r="AU181" s="31" t="str">
        <f aca="false">IF(AND(B181&lt;&gt;"",ISNUMBER(V181)),V181+ROW()/100000,"")</f>
        <v/>
      </c>
    </row>
    <row r="182" customFormat="false" ht="15" hidden="false" customHeight="false" outlineLevel="0" collapsed="false">
      <c r="A182" s="31" t="str">
        <f aca="false">IF(B182="","",ROW()-5)</f>
        <v/>
      </c>
      <c r="B182" s="32"/>
      <c r="C182" s="32"/>
      <c r="D182" s="32"/>
      <c r="E182" s="32"/>
      <c r="F182" s="32"/>
      <c r="G182" s="32"/>
      <c r="H182" s="33"/>
      <c r="I182" s="33"/>
      <c r="J182" s="32"/>
      <c r="K182" s="33"/>
      <c r="L182" s="32"/>
      <c r="M182" s="34"/>
      <c r="N182" s="34"/>
      <c r="O182" s="35" t="str">
        <f aca="false">IF(OR(M182="",N182="",M182=0),"",N182/M182)</f>
        <v/>
      </c>
      <c r="P182" s="36"/>
      <c r="Q182" s="37"/>
      <c r="R182" s="38" t="str">
        <f aca="false">IF(Q182&lt;&gt;"",Q182,IF(AND(P182&lt;&gt;"",M182&lt;&gt;""),P182*12*M182,""))</f>
        <v/>
      </c>
      <c r="S182" s="32"/>
      <c r="T182" s="32"/>
      <c r="U182" s="39"/>
      <c r="V182" s="39"/>
      <c r="W182" s="34"/>
      <c r="X182" s="32"/>
      <c r="Y182" s="34"/>
      <c r="Z182" s="40" t="str">
        <f aca="false">IF(OR(V182="",Y182=""),"",V182-Y182)</f>
        <v/>
      </c>
      <c r="AA182" s="41" t="str">
        <f aca="true">IF(V182="","",V182-TODAY())</f>
        <v/>
      </c>
      <c r="AB182" s="42" t="str">
        <f aca="false">IF(V182="","",IF(AA182&lt;0,"Past due",IF(AA182&lt;=90,"0–90 days",IF(AA182&lt;=180,"91–180 days",IF(AA182&lt;=365,"181–365 days","Over a year")))))</f>
        <v/>
      </c>
      <c r="AC182" s="43"/>
      <c r="AD182" s="32"/>
      <c r="AE182" s="32"/>
      <c r="AF182" s="33"/>
      <c r="AG182" s="32"/>
      <c r="AH182" s="33"/>
      <c r="AI182" s="32"/>
      <c r="AJ182" s="33"/>
      <c r="AK182" s="32"/>
      <c r="AL182" s="32"/>
      <c r="AM182" s="33"/>
      <c r="AN182" s="31" t="str">
        <f aca="false">IF(B182="","",IFERROR(INDEX(Lookup!$B$2:$B$3000,MATCH(TRIM(B182),Lookup!$A$2:$A$3000,0)),""))</f>
        <v/>
      </c>
      <c r="AO182" s="42" t="str">
        <f aca="false">IF(B182="","",IF(AN182="","No – will be reviewed","Yes"))</f>
        <v/>
      </c>
      <c r="AP182" s="31" t="str">
        <f aca="false">IF(AN182="","",IFERROR(INDEX(Catalog!$B$5:$B$400,MATCH(AN182,Catalog!$A$5:$A$400,0)),""))</f>
        <v/>
      </c>
      <c r="AQ182" s="31" t="str">
        <f aca="false">IF(AN182="","",IFERROR(INDEX(Catalog!$C$5:$C$400,MATCH(AN182,Catalog!$A$5:$A$400,0)),""))</f>
        <v/>
      </c>
      <c r="AR182" s="31" t="str">
        <f aca="false">IF(AN182="","",IFERROR(INDEX(Catalog!$D$5:$D$400,MATCH(AN182,Catalog!$A$5:$A$400,0)),""))</f>
        <v/>
      </c>
      <c r="AS182" s="31" t="str">
        <f aca="false">IF(AN182="","",IFERROR(INDEX(Catalog!$E$5:$E$400,MATCH(AN182,Catalog!$A$5:$A$400,0)),""))</f>
        <v/>
      </c>
      <c r="AT182" s="44" t="str">
        <f aca="false">IF(AN182="","",IFERROR(INDEX(Catalog!$F$5:$F$400,MATCH(AN182,Catalog!$A$5:$A$400,0)),""))</f>
        <v/>
      </c>
      <c r="AU182" s="31" t="str">
        <f aca="false">IF(AND(B182&lt;&gt;"",ISNUMBER(V182)),V182+ROW()/100000,"")</f>
        <v/>
      </c>
    </row>
    <row r="183" customFormat="false" ht="15" hidden="false" customHeight="false" outlineLevel="0" collapsed="false">
      <c r="A183" s="31" t="str">
        <f aca="false">IF(B183="","",ROW()-5)</f>
        <v/>
      </c>
      <c r="B183" s="32"/>
      <c r="C183" s="32"/>
      <c r="D183" s="32"/>
      <c r="E183" s="32"/>
      <c r="F183" s="32"/>
      <c r="G183" s="32"/>
      <c r="H183" s="33"/>
      <c r="I183" s="33"/>
      <c r="J183" s="32"/>
      <c r="K183" s="33"/>
      <c r="L183" s="32"/>
      <c r="M183" s="34"/>
      <c r="N183" s="34"/>
      <c r="O183" s="35" t="str">
        <f aca="false">IF(OR(M183="",N183="",M183=0),"",N183/M183)</f>
        <v/>
      </c>
      <c r="P183" s="36"/>
      <c r="Q183" s="37"/>
      <c r="R183" s="38" t="str">
        <f aca="false">IF(Q183&lt;&gt;"",Q183,IF(AND(P183&lt;&gt;"",M183&lt;&gt;""),P183*12*M183,""))</f>
        <v/>
      </c>
      <c r="S183" s="32"/>
      <c r="T183" s="32"/>
      <c r="U183" s="39"/>
      <c r="V183" s="39"/>
      <c r="W183" s="34"/>
      <c r="X183" s="32"/>
      <c r="Y183" s="34"/>
      <c r="Z183" s="40" t="str">
        <f aca="false">IF(OR(V183="",Y183=""),"",V183-Y183)</f>
        <v/>
      </c>
      <c r="AA183" s="41" t="str">
        <f aca="true">IF(V183="","",V183-TODAY())</f>
        <v/>
      </c>
      <c r="AB183" s="42" t="str">
        <f aca="false">IF(V183="","",IF(AA183&lt;0,"Past due",IF(AA183&lt;=90,"0–90 days",IF(AA183&lt;=180,"91–180 days",IF(AA183&lt;=365,"181–365 days","Over a year")))))</f>
        <v/>
      </c>
      <c r="AC183" s="43"/>
      <c r="AD183" s="32"/>
      <c r="AE183" s="32"/>
      <c r="AF183" s="33"/>
      <c r="AG183" s="32"/>
      <c r="AH183" s="33"/>
      <c r="AI183" s="32"/>
      <c r="AJ183" s="33"/>
      <c r="AK183" s="32"/>
      <c r="AL183" s="32"/>
      <c r="AM183" s="33"/>
      <c r="AN183" s="31" t="str">
        <f aca="false">IF(B183="","",IFERROR(INDEX(Lookup!$B$2:$B$3000,MATCH(TRIM(B183),Lookup!$A$2:$A$3000,0)),""))</f>
        <v/>
      </c>
      <c r="AO183" s="42" t="str">
        <f aca="false">IF(B183="","",IF(AN183="","No – will be reviewed","Yes"))</f>
        <v/>
      </c>
      <c r="AP183" s="31" t="str">
        <f aca="false">IF(AN183="","",IFERROR(INDEX(Catalog!$B$5:$B$400,MATCH(AN183,Catalog!$A$5:$A$400,0)),""))</f>
        <v/>
      </c>
      <c r="AQ183" s="31" t="str">
        <f aca="false">IF(AN183="","",IFERROR(INDEX(Catalog!$C$5:$C$400,MATCH(AN183,Catalog!$A$5:$A$400,0)),""))</f>
        <v/>
      </c>
      <c r="AR183" s="31" t="str">
        <f aca="false">IF(AN183="","",IFERROR(INDEX(Catalog!$D$5:$D$400,MATCH(AN183,Catalog!$A$5:$A$400,0)),""))</f>
        <v/>
      </c>
      <c r="AS183" s="31" t="str">
        <f aca="false">IF(AN183="","",IFERROR(INDEX(Catalog!$E$5:$E$400,MATCH(AN183,Catalog!$A$5:$A$400,0)),""))</f>
        <v/>
      </c>
      <c r="AT183" s="44" t="str">
        <f aca="false">IF(AN183="","",IFERROR(INDEX(Catalog!$F$5:$F$400,MATCH(AN183,Catalog!$A$5:$A$400,0)),""))</f>
        <v/>
      </c>
      <c r="AU183" s="31" t="str">
        <f aca="false">IF(AND(B183&lt;&gt;"",ISNUMBER(V183)),V183+ROW()/100000,"")</f>
        <v/>
      </c>
    </row>
    <row r="184" customFormat="false" ht="15" hidden="false" customHeight="false" outlineLevel="0" collapsed="false">
      <c r="A184" s="31" t="str">
        <f aca="false">IF(B184="","",ROW()-5)</f>
        <v/>
      </c>
      <c r="B184" s="32"/>
      <c r="C184" s="32"/>
      <c r="D184" s="32"/>
      <c r="E184" s="32"/>
      <c r="F184" s="32"/>
      <c r="G184" s="32"/>
      <c r="H184" s="33"/>
      <c r="I184" s="33"/>
      <c r="J184" s="32"/>
      <c r="K184" s="33"/>
      <c r="L184" s="32"/>
      <c r="M184" s="34"/>
      <c r="N184" s="34"/>
      <c r="O184" s="35" t="str">
        <f aca="false">IF(OR(M184="",N184="",M184=0),"",N184/M184)</f>
        <v/>
      </c>
      <c r="P184" s="36"/>
      <c r="Q184" s="37"/>
      <c r="R184" s="38" t="str">
        <f aca="false">IF(Q184&lt;&gt;"",Q184,IF(AND(P184&lt;&gt;"",M184&lt;&gt;""),P184*12*M184,""))</f>
        <v/>
      </c>
      <c r="S184" s="32"/>
      <c r="T184" s="32"/>
      <c r="U184" s="39"/>
      <c r="V184" s="39"/>
      <c r="W184" s="34"/>
      <c r="X184" s="32"/>
      <c r="Y184" s="34"/>
      <c r="Z184" s="40" t="str">
        <f aca="false">IF(OR(V184="",Y184=""),"",V184-Y184)</f>
        <v/>
      </c>
      <c r="AA184" s="41" t="str">
        <f aca="true">IF(V184="","",V184-TODAY())</f>
        <v/>
      </c>
      <c r="AB184" s="42" t="str">
        <f aca="false">IF(V184="","",IF(AA184&lt;0,"Past due",IF(AA184&lt;=90,"0–90 days",IF(AA184&lt;=180,"91–180 days",IF(AA184&lt;=365,"181–365 days","Over a year")))))</f>
        <v/>
      </c>
      <c r="AC184" s="43"/>
      <c r="AD184" s="32"/>
      <c r="AE184" s="32"/>
      <c r="AF184" s="33"/>
      <c r="AG184" s="32"/>
      <c r="AH184" s="33"/>
      <c r="AI184" s="32"/>
      <c r="AJ184" s="33"/>
      <c r="AK184" s="32"/>
      <c r="AL184" s="32"/>
      <c r="AM184" s="33"/>
      <c r="AN184" s="31" t="str">
        <f aca="false">IF(B184="","",IFERROR(INDEX(Lookup!$B$2:$B$3000,MATCH(TRIM(B184),Lookup!$A$2:$A$3000,0)),""))</f>
        <v/>
      </c>
      <c r="AO184" s="42" t="str">
        <f aca="false">IF(B184="","",IF(AN184="","No – will be reviewed","Yes"))</f>
        <v/>
      </c>
      <c r="AP184" s="31" t="str">
        <f aca="false">IF(AN184="","",IFERROR(INDEX(Catalog!$B$5:$B$400,MATCH(AN184,Catalog!$A$5:$A$400,0)),""))</f>
        <v/>
      </c>
      <c r="AQ184" s="31" t="str">
        <f aca="false">IF(AN184="","",IFERROR(INDEX(Catalog!$C$5:$C$400,MATCH(AN184,Catalog!$A$5:$A$400,0)),""))</f>
        <v/>
      </c>
      <c r="AR184" s="31" t="str">
        <f aca="false">IF(AN184="","",IFERROR(INDEX(Catalog!$D$5:$D$400,MATCH(AN184,Catalog!$A$5:$A$400,0)),""))</f>
        <v/>
      </c>
      <c r="AS184" s="31" t="str">
        <f aca="false">IF(AN184="","",IFERROR(INDEX(Catalog!$E$5:$E$400,MATCH(AN184,Catalog!$A$5:$A$400,0)),""))</f>
        <v/>
      </c>
      <c r="AT184" s="44" t="str">
        <f aca="false">IF(AN184="","",IFERROR(INDEX(Catalog!$F$5:$F$400,MATCH(AN184,Catalog!$A$5:$A$400,0)),""))</f>
        <v/>
      </c>
      <c r="AU184" s="31" t="str">
        <f aca="false">IF(AND(B184&lt;&gt;"",ISNUMBER(V184)),V184+ROW()/100000,"")</f>
        <v/>
      </c>
    </row>
    <row r="185" customFormat="false" ht="15" hidden="false" customHeight="false" outlineLevel="0" collapsed="false">
      <c r="A185" s="31" t="str">
        <f aca="false">IF(B185="","",ROW()-5)</f>
        <v/>
      </c>
      <c r="B185" s="32"/>
      <c r="C185" s="32"/>
      <c r="D185" s="32"/>
      <c r="E185" s="32"/>
      <c r="F185" s="32"/>
      <c r="G185" s="32"/>
      <c r="H185" s="33"/>
      <c r="I185" s="33"/>
      <c r="J185" s="32"/>
      <c r="K185" s="33"/>
      <c r="L185" s="32"/>
      <c r="M185" s="34"/>
      <c r="N185" s="34"/>
      <c r="O185" s="35" t="str">
        <f aca="false">IF(OR(M185="",N185="",M185=0),"",N185/M185)</f>
        <v/>
      </c>
      <c r="P185" s="36"/>
      <c r="Q185" s="37"/>
      <c r="R185" s="38" t="str">
        <f aca="false">IF(Q185&lt;&gt;"",Q185,IF(AND(P185&lt;&gt;"",M185&lt;&gt;""),P185*12*M185,""))</f>
        <v/>
      </c>
      <c r="S185" s="32"/>
      <c r="T185" s="32"/>
      <c r="U185" s="39"/>
      <c r="V185" s="39"/>
      <c r="W185" s="34"/>
      <c r="X185" s="32"/>
      <c r="Y185" s="34"/>
      <c r="Z185" s="40" t="str">
        <f aca="false">IF(OR(V185="",Y185=""),"",V185-Y185)</f>
        <v/>
      </c>
      <c r="AA185" s="41" t="str">
        <f aca="true">IF(V185="","",V185-TODAY())</f>
        <v/>
      </c>
      <c r="AB185" s="42" t="str">
        <f aca="false">IF(V185="","",IF(AA185&lt;0,"Past due",IF(AA185&lt;=90,"0–90 days",IF(AA185&lt;=180,"91–180 days",IF(AA185&lt;=365,"181–365 days","Over a year")))))</f>
        <v/>
      </c>
      <c r="AC185" s="43"/>
      <c r="AD185" s="32"/>
      <c r="AE185" s="32"/>
      <c r="AF185" s="33"/>
      <c r="AG185" s="32"/>
      <c r="AH185" s="33"/>
      <c r="AI185" s="32"/>
      <c r="AJ185" s="33"/>
      <c r="AK185" s="32"/>
      <c r="AL185" s="32"/>
      <c r="AM185" s="33"/>
      <c r="AN185" s="31" t="str">
        <f aca="false">IF(B185="","",IFERROR(INDEX(Lookup!$B$2:$B$3000,MATCH(TRIM(B185),Lookup!$A$2:$A$3000,0)),""))</f>
        <v/>
      </c>
      <c r="AO185" s="42" t="str">
        <f aca="false">IF(B185="","",IF(AN185="","No – will be reviewed","Yes"))</f>
        <v/>
      </c>
      <c r="AP185" s="31" t="str">
        <f aca="false">IF(AN185="","",IFERROR(INDEX(Catalog!$B$5:$B$400,MATCH(AN185,Catalog!$A$5:$A$400,0)),""))</f>
        <v/>
      </c>
      <c r="AQ185" s="31" t="str">
        <f aca="false">IF(AN185="","",IFERROR(INDEX(Catalog!$C$5:$C$400,MATCH(AN185,Catalog!$A$5:$A$400,0)),""))</f>
        <v/>
      </c>
      <c r="AR185" s="31" t="str">
        <f aca="false">IF(AN185="","",IFERROR(INDEX(Catalog!$D$5:$D$400,MATCH(AN185,Catalog!$A$5:$A$400,0)),""))</f>
        <v/>
      </c>
      <c r="AS185" s="31" t="str">
        <f aca="false">IF(AN185="","",IFERROR(INDEX(Catalog!$E$5:$E$400,MATCH(AN185,Catalog!$A$5:$A$400,0)),""))</f>
        <v/>
      </c>
      <c r="AT185" s="44" t="str">
        <f aca="false">IF(AN185="","",IFERROR(INDEX(Catalog!$F$5:$F$400,MATCH(AN185,Catalog!$A$5:$A$400,0)),""))</f>
        <v/>
      </c>
      <c r="AU185" s="31" t="str">
        <f aca="false">IF(AND(B185&lt;&gt;"",ISNUMBER(V185)),V185+ROW()/100000,"")</f>
        <v/>
      </c>
    </row>
    <row r="186" customFormat="false" ht="15" hidden="false" customHeight="false" outlineLevel="0" collapsed="false">
      <c r="A186" s="31" t="str">
        <f aca="false">IF(B186="","",ROW()-5)</f>
        <v/>
      </c>
      <c r="B186" s="32"/>
      <c r="C186" s="32"/>
      <c r="D186" s="32"/>
      <c r="E186" s="32"/>
      <c r="F186" s="32"/>
      <c r="G186" s="32"/>
      <c r="H186" s="33"/>
      <c r="I186" s="33"/>
      <c r="J186" s="32"/>
      <c r="K186" s="33"/>
      <c r="L186" s="32"/>
      <c r="M186" s="34"/>
      <c r="N186" s="34"/>
      <c r="O186" s="35" t="str">
        <f aca="false">IF(OR(M186="",N186="",M186=0),"",N186/M186)</f>
        <v/>
      </c>
      <c r="P186" s="36"/>
      <c r="Q186" s="37"/>
      <c r="R186" s="38" t="str">
        <f aca="false">IF(Q186&lt;&gt;"",Q186,IF(AND(P186&lt;&gt;"",M186&lt;&gt;""),P186*12*M186,""))</f>
        <v/>
      </c>
      <c r="S186" s="32"/>
      <c r="T186" s="32"/>
      <c r="U186" s="39"/>
      <c r="V186" s="39"/>
      <c r="W186" s="34"/>
      <c r="X186" s="32"/>
      <c r="Y186" s="34"/>
      <c r="Z186" s="40" t="str">
        <f aca="false">IF(OR(V186="",Y186=""),"",V186-Y186)</f>
        <v/>
      </c>
      <c r="AA186" s="41" t="str">
        <f aca="true">IF(V186="","",V186-TODAY())</f>
        <v/>
      </c>
      <c r="AB186" s="42" t="str">
        <f aca="false">IF(V186="","",IF(AA186&lt;0,"Past due",IF(AA186&lt;=90,"0–90 days",IF(AA186&lt;=180,"91–180 days",IF(AA186&lt;=365,"181–365 days","Over a year")))))</f>
        <v/>
      </c>
      <c r="AC186" s="43"/>
      <c r="AD186" s="32"/>
      <c r="AE186" s="32"/>
      <c r="AF186" s="33"/>
      <c r="AG186" s="32"/>
      <c r="AH186" s="33"/>
      <c r="AI186" s="32"/>
      <c r="AJ186" s="33"/>
      <c r="AK186" s="32"/>
      <c r="AL186" s="32"/>
      <c r="AM186" s="33"/>
      <c r="AN186" s="31" t="str">
        <f aca="false">IF(B186="","",IFERROR(INDEX(Lookup!$B$2:$B$3000,MATCH(TRIM(B186),Lookup!$A$2:$A$3000,0)),""))</f>
        <v/>
      </c>
      <c r="AO186" s="42" t="str">
        <f aca="false">IF(B186="","",IF(AN186="","No – will be reviewed","Yes"))</f>
        <v/>
      </c>
      <c r="AP186" s="31" t="str">
        <f aca="false">IF(AN186="","",IFERROR(INDEX(Catalog!$B$5:$B$400,MATCH(AN186,Catalog!$A$5:$A$400,0)),""))</f>
        <v/>
      </c>
      <c r="AQ186" s="31" t="str">
        <f aca="false">IF(AN186="","",IFERROR(INDEX(Catalog!$C$5:$C$400,MATCH(AN186,Catalog!$A$5:$A$400,0)),""))</f>
        <v/>
      </c>
      <c r="AR186" s="31" t="str">
        <f aca="false">IF(AN186="","",IFERROR(INDEX(Catalog!$D$5:$D$400,MATCH(AN186,Catalog!$A$5:$A$400,0)),""))</f>
        <v/>
      </c>
      <c r="AS186" s="31" t="str">
        <f aca="false">IF(AN186="","",IFERROR(INDEX(Catalog!$E$5:$E$400,MATCH(AN186,Catalog!$A$5:$A$400,0)),""))</f>
        <v/>
      </c>
      <c r="AT186" s="44" t="str">
        <f aca="false">IF(AN186="","",IFERROR(INDEX(Catalog!$F$5:$F$400,MATCH(AN186,Catalog!$A$5:$A$400,0)),""))</f>
        <v/>
      </c>
      <c r="AU186" s="31" t="str">
        <f aca="false">IF(AND(B186&lt;&gt;"",ISNUMBER(V186)),V186+ROW()/100000,"")</f>
        <v/>
      </c>
    </row>
    <row r="187" customFormat="false" ht="15" hidden="false" customHeight="false" outlineLevel="0" collapsed="false">
      <c r="A187" s="31" t="str">
        <f aca="false">IF(B187="","",ROW()-5)</f>
        <v/>
      </c>
      <c r="B187" s="32"/>
      <c r="C187" s="32"/>
      <c r="D187" s="32"/>
      <c r="E187" s="32"/>
      <c r="F187" s="32"/>
      <c r="G187" s="32"/>
      <c r="H187" s="33"/>
      <c r="I187" s="33"/>
      <c r="J187" s="32"/>
      <c r="K187" s="33"/>
      <c r="L187" s="32"/>
      <c r="M187" s="34"/>
      <c r="N187" s="34"/>
      <c r="O187" s="35" t="str">
        <f aca="false">IF(OR(M187="",N187="",M187=0),"",N187/M187)</f>
        <v/>
      </c>
      <c r="P187" s="36"/>
      <c r="Q187" s="37"/>
      <c r="R187" s="38" t="str">
        <f aca="false">IF(Q187&lt;&gt;"",Q187,IF(AND(P187&lt;&gt;"",M187&lt;&gt;""),P187*12*M187,""))</f>
        <v/>
      </c>
      <c r="S187" s="32"/>
      <c r="T187" s="32"/>
      <c r="U187" s="39"/>
      <c r="V187" s="39"/>
      <c r="W187" s="34"/>
      <c r="X187" s="32"/>
      <c r="Y187" s="34"/>
      <c r="Z187" s="40" t="str">
        <f aca="false">IF(OR(V187="",Y187=""),"",V187-Y187)</f>
        <v/>
      </c>
      <c r="AA187" s="41" t="str">
        <f aca="true">IF(V187="","",V187-TODAY())</f>
        <v/>
      </c>
      <c r="AB187" s="42" t="str">
        <f aca="false">IF(V187="","",IF(AA187&lt;0,"Past due",IF(AA187&lt;=90,"0–90 days",IF(AA187&lt;=180,"91–180 days",IF(AA187&lt;=365,"181–365 days","Over a year")))))</f>
        <v/>
      </c>
      <c r="AC187" s="43"/>
      <c r="AD187" s="32"/>
      <c r="AE187" s="32"/>
      <c r="AF187" s="33"/>
      <c r="AG187" s="32"/>
      <c r="AH187" s="33"/>
      <c r="AI187" s="32"/>
      <c r="AJ187" s="33"/>
      <c r="AK187" s="32"/>
      <c r="AL187" s="32"/>
      <c r="AM187" s="33"/>
      <c r="AN187" s="31" t="str">
        <f aca="false">IF(B187="","",IFERROR(INDEX(Lookup!$B$2:$B$3000,MATCH(TRIM(B187),Lookup!$A$2:$A$3000,0)),""))</f>
        <v/>
      </c>
      <c r="AO187" s="42" t="str">
        <f aca="false">IF(B187="","",IF(AN187="","No – will be reviewed","Yes"))</f>
        <v/>
      </c>
      <c r="AP187" s="31" t="str">
        <f aca="false">IF(AN187="","",IFERROR(INDEX(Catalog!$B$5:$B$400,MATCH(AN187,Catalog!$A$5:$A$400,0)),""))</f>
        <v/>
      </c>
      <c r="AQ187" s="31" t="str">
        <f aca="false">IF(AN187="","",IFERROR(INDEX(Catalog!$C$5:$C$400,MATCH(AN187,Catalog!$A$5:$A$400,0)),""))</f>
        <v/>
      </c>
      <c r="AR187" s="31" t="str">
        <f aca="false">IF(AN187="","",IFERROR(INDEX(Catalog!$D$5:$D$400,MATCH(AN187,Catalog!$A$5:$A$400,0)),""))</f>
        <v/>
      </c>
      <c r="AS187" s="31" t="str">
        <f aca="false">IF(AN187="","",IFERROR(INDEX(Catalog!$E$5:$E$400,MATCH(AN187,Catalog!$A$5:$A$400,0)),""))</f>
        <v/>
      </c>
      <c r="AT187" s="44" t="str">
        <f aca="false">IF(AN187="","",IFERROR(INDEX(Catalog!$F$5:$F$400,MATCH(AN187,Catalog!$A$5:$A$400,0)),""))</f>
        <v/>
      </c>
      <c r="AU187" s="31" t="str">
        <f aca="false">IF(AND(B187&lt;&gt;"",ISNUMBER(V187)),V187+ROW()/100000,"")</f>
        <v/>
      </c>
    </row>
    <row r="188" customFormat="false" ht="15" hidden="false" customHeight="false" outlineLevel="0" collapsed="false">
      <c r="A188" s="31" t="str">
        <f aca="false">IF(B188="","",ROW()-5)</f>
        <v/>
      </c>
      <c r="B188" s="32"/>
      <c r="C188" s="32"/>
      <c r="D188" s="32"/>
      <c r="E188" s="32"/>
      <c r="F188" s="32"/>
      <c r="G188" s="32"/>
      <c r="H188" s="33"/>
      <c r="I188" s="33"/>
      <c r="J188" s="32"/>
      <c r="K188" s="33"/>
      <c r="L188" s="32"/>
      <c r="M188" s="34"/>
      <c r="N188" s="34"/>
      <c r="O188" s="35" t="str">
        <f aca="false">IF(OR(M188="",N188="",M188=0),"",N188/M188)</f>
        <v/>
      </c>
      <c r="P188" s="36"/>
      <c r="Q188" s="37"/>
      <c r="R188" s="38" t="str">
        <f aca="false">IF(Q188&lt;&gt;"",Q188,IF(AND(P188&lt;&gt;"",M188&lt;&gt;""),P188*12*M188,""))</f>
        <v/>
      </c>
      <c r="S188" s="32"/>
      <c r="T188" s="32"/>
      <c r="U188" s="39"/>
      <c r="V188" s="39"/>
      <c r="W188" s="34"/>
      <c r="X188" s="32"/>
      <c r="Y188" s="34"/>
      <c r="Z188" s="40" t="str">
        <f aca="false">IF(OR(V188="",Y188=""),"",V188-Y188)</f>
        <v/>
      </c>
      <c r="AA188" s="41" t="str">
        <f aca="true">IF(V188="","",V188-TODAY())</f>
        <v/>
      </c>
      <c r="AB188" s="42" t="str">
        <f aca="false">IF(V188="","",IF(AA188&lt;0,"Past due",IF(AA188&lt;=90,"0–90 days",IF(AA188&lt;=180,"91–180 days",IF(AA188&lt;=365,"181–365 days","Over a year")))))</f>
        <v/>
      </c>
      <c r="AC188" s="43"/>
      <c r="AD188" s="32"/>
      <c r="AE188" s="32"/>
      <c r="AF188" s="33"/>
      <c r="AG188" s="32"/>
      <c r="AH188" s="33"/>
      <c r="AI188" s="32"/>
      <c r="AJ188" s="33"/>
      <c r="AK188" s="32"/>
      <c r="AL188" s="32"/>
      <c r="AM188" s="33"/>
      <c r="AN188" s="31" t="str">
        <f aca="false">IF(B188="","",IFERROR(INDEX(Lookup!$B$2:$B$3000,MATCH(TRIM(B188),Lookup!$A$2:$A$3000,0)),""))</f>
        <v/>
      </c>
      <c r="AO188" s="42" t="str">
        <f aca="false">IF(B188="","",IF(AN188="","No – will be reviewed","Yes"))</f>
        <v/>
      </c>
      <c r="AP188" s="31" t="str">
        <f aca="false">IF(AN188="","",IFERROR(INDEX(Catalog!$B$5:$B$400,MATCH(AN188,Catalog!$A$5:$A$400,0)),""))</f>
        <v/>
      </c>
      <c r="AQ188" s="31" t="str">
        <f aca="false">IF(AN188="","",IFERROR(INDEX(Catalog!$C$5:$C$400,MATCH(AN188,Catalog!$A$5:$A$400,0)),""))</f>
        <v/>
      </c>
      <c r="AR188" s="31" t="str">
        <f aca="false">IF(AN188="","",IFERROR(INDEX(Catalog!$D$5:$D$400,MATCH(AN188,Catalog!$A$5:$A$400,0)),""))</f>
        <v/>
      </c>
      <c r="AS188" s="31" t="str">
        <f aca="false">IF(AN188="","",IFERROR(INDEX(Catalog!$E$5:$E$400,MATCH(AN188,Catalog!$A$5:$A$400,0)),""))</f>
        <v/>
      </c>
      <c r="AT188" s="44" t="str">
        <f aca="false">IF(AN188="","",IFERROR(INDEX(Catalog!$F$5:$F$400,MATCH(AN188,Catalog!$A$5:$A$400,0)),""))</f>
        <v/>
      </c>
      <c r="AU188" s="31" t="str">
        <f aca="false">IF(AND(B188&lt;&gt;"",ISNUMBER(V188)),V188+ROW()/100000,"")</f>
        <v/>
      </c>
    </row>
    <row r="189" customFormat="false" ht="15" hidden="false" customHeight="false" outlineLevel="0" collapsed="false">
      <c r="A189" s="31" t="str">
        <f aca="false">IF(B189="","",ROW()-5)</f>
        <v/>
      </c>
      <c r="B189" s="32"/>
      <c r="C189" s="32"/>
      <c r="D189" s="32"/>
      <c r="E189" s="32"/>
      <c r="F189" s="32"/>
      <c r="G189" s="32"/>
      <c r="H189" s="33"/>
      <c r="I189" s="33"/>
      <c r="J189" s="32"/>
      <c r="K189" s="33"/>
      <c r="L189" s="32"/>
      <c r="M189" s="34"/>
      <c r="N189" s="34"/>
      <c r="O189" s="35" t="str">
        <f aca="false">IF(OR(M189="",N189="",M189=0),"",N189/M189)</f>
        <v/>
      </c>
      <c r="P189" s="36"/>
      <c r="Q189" s="37"/>
      <c r="R189" s="38" t="str">
        <f aca="false">IF(Q189&lt;&gt;"",Q189,IF(AND(P189&lt;&gt;"",M189&lt;&gt;""),P189*12*M189,""))</f>
        <v/>
      </c>
      <c r="S189" s="32"/>
      <c r="T189" s="32"/>
      <c r="U189" s="39"/>
      <c r="V189" s="39"/>
      <c r="W189" s="34"/>
      <c r="X189" s="32"/>
      <c r="Y189" s="34"/>
      <c r="Z189" s="40" t="str">
        <f aca="false">IF(OR(V189="",Y189=""),"",V189-Y189)</f>
        <v/>
      </c>
      <c r="AA189" s="41" t="str">
        <f aca="true">IF(V189="","",V189-TODAY())</f>
        <v/>
      </c>
      <c r="AB189" s="42" t="str">
        <f aca="false">IF(V189="","",IF(AA189&lt;0,"Past due",IF(AA189&lt;=90,"0–90 days",IF(AA189&lt;=180,"91–180 days",IF(AA189&lt;=365,"181–365 days","Over a year")))))</f>
        <v/>
      </c>
      <c r="AC189" s="43"/>
      <c r="AD189" s="32"/>
      <c r="AE189" s="32"/>
      <c r="AF189" s="33"/>
      <c r="AG189" s="32"/>
      <c r="AH189" s="33"/>
      <c r="AI189" s="32"/>
      <c r="AJ189" s="33"/>
      <c r="AK189" s="32"/>
      <c r="AL189" s="32"/>
      <c r="AM189" s="33"/>
      <c r="AN189" s="31" t="str">
        <f aca="false">IF(B189="","",IFERROR(INDEX(Lookup!$B$2:$B$3000,MATCH(TRIM(B189),Lookup!$A$2:$A$3000,0)),""))</f>
        <v/>
      </c>
      <c r="AO189" s="42" t="str">
        <f aca="false">IF(B189="","",IF(AN189="","No – will be reviewed","Yes"))</f>
        <v/>
      </c>
      <c r="AP189" s="31" t="str">
        <f aca="false">IF(AN189="","",IFERROR(INDEX(Catalog!$B$5:$B$400,MATCH(AN189,Catalog!$A$5:$A$400,0)),""))</f>
        <v/>
      </c>
      <c r="AQ189" s="31" t="str">
        <f aca="false">IF(AN189="","",IFERROR(INDEX(Catalog!$C$5:$C$400,MATCH(AN189,Catalog!$A$5:$A$400,0)),""))</f>
        <v/>
      </c>
      <c r="AR189" s="31" t="str">
        <f aca="false">IF(AN189="","",IFERROR(INDEX(Catalog!$D$5:$D$400,MATCH(AN189,Catalog!$A$5:$A$400,0)),""))</f>
        <v/>
      </c>
      <c r="AS189" s="31" t="str">
        <f aca="false">IF(AN189="","",IFERROR(INDEX(Catalog!$E$5:$E$400,MATCH(AN189,Catalog!$A$5:$A$400,0)),""))</f>
        <v/>
      </c>
      <c r="AT189" s="44" t="str">
        <f aca="false">IF(AN189="","",IFERROR(INDEX(Catalog!$F$5:$F$400,MATCH(AN189,Catalog!$A$5:$A$400,0)),""))</f>
        <v/>
      </c>
      <c r="AU189" s="31" t="str">
        <f aca="false">IF(AND(B189&lt;&gt;"",ISNUMBER(V189)),V189+ROW()/100000,"")</f>
        <v/>
      </c>
    </row>
    <row r="190" customFormat="false" ht="15" hidden="false" customHeight="false" outlineLevel="0" collapsed="false">
      <c r="A190" s="31" t="str">
        <f aca="false">IF(B190="","",ROW()-5)</f>
        <v/>
      </c>
      <c r="B190" s="32"/>
      <c r="C190" s="32"/>
      <c r="D190" s="32"/>
      <c r="E190" s="32"/>
      <c r="F190" s="32"/>
      <c r="G190" s="32"/>
      <c r="H190" s="33"/>
      <c r="I190" s="33"/>
      <c r="J190" s="32"/>
      <c r="K190" s="33"/>
      <c r="L190" s="32"/>
      <c r="M190" s="34"/>
      <c r="N190" s="34"/>
      <c r="O190" s="35" t="str">
        <f aca="false">IF(OR(M190="",N190="",M190=0),"",N190/M190)</f>
        <v/>
      </c>
      <c r="P190" s="36"/>
      <c r="Q190" s="37"/>
      <c r="R190" s="38" t="str">
        <f aca="false">IF(Q190&lt;&gt;"",Q190,IF(AND(P190&lt;&gt;"",M190&lt;&gt;""),P190*12*M190,""))</f>
        <v/>
      </c>
      <c r="S190" s="32"/>
      <c r="T190" s="32"/>
      <c r="U190" s="39"/>
      <c r="V190" s="39"/>
      <c r="W190" s="34"/>
      <c r="X190" s="32"/>
      <c r="Y190" s="34"/>
      <c r="Z190" s="40" t="str">
        <f aca="false">IF(OR(V190="",Y190=""),"",V190-Y190)</f>
        <v/>
      </c>
      <c r="AA190" s="41" t="str">
        <f aca="true">IF(V190="","",V190-TODAY())</f>
        <v/>
      </c>
      <c r="AB190" s="42" t="str">
        <f aca="false">IF(V190="","",IF(AA190&lt;0,"Past due",IF(AA190&lt;=90,"0–90 days",IF(AA190&lt;=180,"91–180 days",IF(AA190&lt;=365,"181–365 days","Over a year")))))</f>
        <v/>
      </c>
      <c r="AC190" s="43"/>
      <c r="AD190" s="32"/>
      <c r="AE190" s="32"/>
      <c r="AF190" s="33"/>
      <c r="AG190" s="32"/>
      <c r="AH190" s="33"/>
      <c r="AI190" s="32"/>
      <c r="AJ190" s="33"/>
      <c r="AK190" s="32"/>
      <c r="AL190" s="32"/>
      <c r="AM190" s="33"/>
      <c r="AN190" s="31" t="str">
        <f aca="false">IF(B190="","",IFERROR(INDEX(Lookup!$B$2:$B$3000,MATCH(TRIM(B190),Lookup!$A$2:$A$3000,0)),""))</f>
        <v/>
      </c>
      <c r="AO190" s="42" t="str">
        <f aca="false">IF(B190="","",IF(AN190="","No – will be reviewed","Yes"))</f>
        <v/>
      </c>
      <c r="AP190" s="31" t="str">
        <f aca="false">IF(AN190="","",IFERROR(INDEX(Catalog!$B$5:$B$400,MATCH(AN190,Catalog!$A$5:$A$400,0)),""))</f>
        <v/>
      </c>
      <c r="AQ190" s="31" t="str">
        <f aca="false">IF(AN190="","",IFERROR(INDEX(Catalog!$C$5:$C$400,MATCH(AN190,Catalog!$A$5:$A$400,0)),""))</f>
        <v/>
      </c>
      <c r="AR190" s="31" t="str">
        <f aca="false">IF(AN190="","",IFERROR(INDEX(Catalog!$D$5:$D$400,MATCH(AN190,Catalog!$A$5:$A$400,0)),""))</f>
        <v/>
      </c>
      <c r="AS190" s="31" t="str">
        <f aca="false">IF(AN190="","",IFERROR(INDEX(Catalog!$E$5:$E$400,MATCH(AN190,Catalog!$A$5:$A$400,0)),""))</f>
        <v/>
      </c>
      <c r="AT190" s="44" t="str">
        <f aca="false">IF(AN190="","",IFERROR(INDEX(Catalog!$F$5:$F$400,MATCH(AN190,Catalog!$A$5:$A$400,0)),""))</f>
        <v/>
      </c>
      <c r="AU190" s="31" t="str">
        <f aca="false">IF(AND(B190&lt;&gt;"",ISNUMBER(V190)),V190+ROW()/100000,"")</f>
        <v/>
      </c>
    </row>
    <row r="191" customFormat="false" ht="15" hidden="false" customHeight="false" outlineLevel="0" collapsed="false">
      <c r="A191" s="31" t="str">
        <f aca="false">IF(B191="","",ROW()-5)</f>
        <v/>
      </c>
      <c r="B191" s="32"/>
      <c r="C191" s="32"/>
      <c r="D191" s="32"/>
      <c r="E191" s="32"/>
      <c r="F191" s="32"/>
      <c r="G191" s="32"/>
      <c r="H191" s="33"/>
      <c r="I191" s="33"/>
      <c r="J191" s="32"/>
      <c r="K191" s="33"/>
      <c r="L191" s="32"/>
      <c r="M191" s="34"/>
      <c r="N191" s="34"/>
      <c r="O191" s="35" t="str">
        <f aca="false">IF(OR(M191="",N191="",M191=0),"",N191/M191)</f>
        <v/>
      </c>
      <c r="P191" s="36"/>
      <c r="Q191" s="37"/>
      <c r="R191" s="38" t="str">
        <f aca="false">IF(Q191&lt;&gt;"",Q191,IF(AND(P191&lt;&gt;"",M191&lt;&gt;""),P191*12*M191,""))</f>
        <v/>
      </c>
      <c r="S191" s="32"/>
      <c r="T191" s="32"/>
      <c r="U191" s="39"/>
      <c r="V191" s="39"/>
      <c r="W191" s="34"/>
      <c r="X191" s="32"/>
      <c r="Y191" s="34"/>
      <c r="Z191" s="40" t="str">
        <f aca="false">IF(OR(V191="",Y191=""),"",V191-Y191)</f>
        <v/>
      </c>
      <c r="AA191" s="41" t="str">
        <f aca="true">IF(V191="","",V191-TODAY())</f>
        <v/>
      </c>
      <c r="AB191" s="42" t="str">
        <f aca="false">IF(V191="","",IF(AA191&lt;0,"Past due",IF(AA191&lt;=90,"0–90 days",IF(AA191&lt;=180,"91–180 days",IF(AA191&lt;=365,"181–365 days","Over a year")))))</f>
        <v/>
      </c>
      <c r="AC191" s="43"/>
      <c r="AD191" s="32"/>
      <c r="AE191" s="32"/>
      <c r="AF191" s="33"/>
      <c r="AG191" s="32"/>
      <c r="AH191" s="33"/>
      <c r="AI191" s="32"/>
      <c r="AJ191" s="33"/>
      <c r="AK191" s="32"/>
      <c r="AL191" s="32"/>
      <c r="AM191" s="33"/>
      <c r="AN191" s="31" t="str">
        <f aca="false">IF(B191="","",IFERROR(INDEX(Lookup!$B$2:$B$3000,MATCH(TRIM(B191),Lookup!$A$2:$A$3000,0)),""))</f>
        <v/>
      </c>
      <c r="AO191" s="42" t="str">
        <f aca="false">IF(B191="","",IF(AN191="","No – will be reviewed","Yes"))</f>
        <v/>
      </c>
      <c r="AP191" s="31" t="str">
        <f aca="false">IF(AN191="","",IFERROR(INDEX(Catalog!$B$5:$B$400,MATCH(AN191,Catalog!$A$5:$A$400,0)),""))</f>
        <v/>
      </c>
      <c r="AQ191" s="31" t="str">
        <f aca="false">IF(AN191="","",IFERROR(INDEX(Catalog!$C$5:$C$400,MATCH(AN191,Catalog!$A$5:$A$400,0)),""))</f>
        <v/>
      </c>
      <c r="AR191" s="31" t="str">
        <f aca="false">IF(AN191="","",IFERROR(INDEX(Catalog!$D$5:$D$400,MATCH(AN191,Catalog!$A$5:$A$400,0)),""))</f>
        <v/>
      </c>
      <c r="AS191" s="31" t="str">
        <f aca="false">IF(AN191="","",IFERROR(INDEX(Catalog!$E$5:$E$400,MATCH(AN191,Catalog!$A$5:$A$400,0)),""))</f>
        <v/>
      </c>
      <c r="AT191" s="44" t="str">
        <f aca="false">IF(AN191="","",IFERROR(INDEX(Catalog!$F$5:$F$400,MATCH(AN191,Catalog!$A$5:$A$400,0)),""))</f>
        <v/>
      </c>
      <c r="AU191" s="31" t="str">
        <f aca="false">IF(AND(B191&lt;&gt;"",ISNUMBER(V191)),V191+ROW()/100000,"")</f>
        <v/>
      </c>
    </row>
    <row r="192" customFormat="false" ht="15" hidden="false" customHeight="false" outlineLevel="0" collapsed="false">
      <c r="A192" s="31" t="str">
        <f aca="false">IF(B192="","",ROW()-5)</f>
        <v/>
      </c>
      <c r="B192" s="32"/>
      <c r="C192" s="32"/>
      <c r="D192" s="32"/>
      <c r="E192" s="32"/>
      <c r="F192" s="32"/>
      <c r="G192" s="32"/>
      <c r="H192" s="33"/>
      <c r="I192" s="33"/>
      <c r="J192" s="32"/>
      <c r="K192" s="33"/>
      <c r="L192" s="32"/>
      <c r="M192" s="34"/>
      <c r="N192" s="34"/>
      <c r="O192" s="35" t="str">
        <f aca="false">IF(OR(M192="",N192="",M192=0),"",N192/M192)</f>
        <v/>
      </c>
      <c r="P192" s="36"/>
      <c r="Q192" s="37"/>
      <c r="R192" s="38" t="str">
        <f aca="false">IF(Q192&lt;&gt;"",Q192,IF(AND(P192&lt;&gt;"",M192&lt;&gt;""),P192*12*M192,""))</f>
        <v/>
      </c>
      <c r="S192" s="32"/>
      <c r="T192" s="32"/>
      <c r="U192" s="39"/>
      <c r="V192" s="39"/>
      <c r="W192" s="34"/>
      <c r="X192" s="32"/>
      <c r="Y192" s="34"/>
      <c r="Z192" s="40" t="str">
        <f aca="false">IF(OR(V192="",Y192=""),"",V192-Y192)</f>
        <v/>
      </c>
      <c r="AA192" s="41" t="str">
        <f aca="true">IF(V192="","",V192-TODAY())</f>
        <v/>
      </c>
      <c r="AB192" s="42" t="str">
        <f aca="false">IF(V192="","",IF(AA192&lt;0,"Past due",IF(AA192&lt;=90,"0–90 days",IF(AA192&lt;=180,"91–180 days",IF(AA192&lt;=365,"181–365 days","Over a year")))))</f>
        <v/>
      </c>
      <c r="AC192" s="43"/>
      <c r="AD192" s="32"/>
      <c r="AE192" s="32"/>
      <c r="AF192" s="33"/>
      <c r="AG192" s="32"/>
      <c r="AH192" s="33"/>
      <c r="AI192" s="32"/>
      <c r="AJ192" s="33"/>
      <c r="AK192" s="32"/>
      <c r="AL192" s="32"/>
      <c r="AM192" s="33"/>
      <c r="AN192" s="31" t="str">
        <f aca="false">IF(B192="","",IFERROR(INDEX(Lookup!$B$2:$B$3000,MATCH(TRIM(B192),Lookup!$A$2:$A$3000,0)),""))</f>
        <v/>
      </c>
      <c r="AO192" s="42" t="str">
        <f aca="false">IF(B192="","",IF(AN192="","No – will be reviewed","Yes"))</f>
        <v/>
      </c>
      <c r="AP192" s="31" t="str">
        <f aca="false">IF(AN192="","",IFERROR(INDEX(Catalog!$B$5:$B$400,MATCH(AN192,Catalog!$A$5:$A$400,0)),""))</f>
        <v/>
      </c>
      <c r="AQ192" s="31" t="str">
        <f aca="false">IF(AN192="","",IFERROR(INDEX(Catalog!$C$5:$C$400,MATCH(AN192,Catalog!$A$5:$A$400,0)),""))</f>
        <v/>
      </c>
      <c r="AR192" s="31" t="str">
        <f aca="false">IF(AN192="","",IFERROR(INDEX(Catalog!$D$5:$D$400,MATCH(AN192,Catalog!$A$5:$A$400,0)),""))</f>
        <v/>
      </c>
      <c r="AS192" s="31" t="str">
        <f aca="false">IF(AN192="","",IFERROR(INDEX(Catalog!$E$5:$E$400,MATCH(AN192,Catalog!$A$5:$A$400,0)),""))</f>
        <v/>
      </c>
      <c r="AT192" s="44" t="str">
        <f aca="false">IF(AN192="","",IFERROR(INDEX(Catalog!$F$5:$F$400,MATCH(AN192,Catalog!$A$5:$A$400,0)),""))</f>
        <v/>
      </c>
      <c r="AU192" s="31" t="str">
        <f aca="false">IF(AND(B192&lt;&gt;"",ISNUMBER(V192)),V192+ROW()/100000,"")</f>
        <v/>
      </c>
    </row>
    <row r="193" customFormat="false" ht="15" hidden="false" customHeight="false" outlineLevel="0" collapsed="false">
      <c r="A193" s="31" t="str">
        <f aca="false">IF(B193="","",ROW()-5)</f>
        <v/>
      </c>
      <c r="B193" s="32"/>
      <c r="C193" s="32"/>
      <c r="D193" s="32"/>
      <c r="E193" s="32"/>
      <c r="F193" s="32"/>
      <c r="G193" s="32"/>
      <c r="H193" s="33"/>
      <c r="I193" s="33"/>
      <c r="J193" s="32"/>
      <c r="K193" s="33"/>
      <c r="L193" s="32"/>
      <c r="M193" s="34"/>
      <c r="N193" s="34"/>
      <c r="O193" s="35" t="str">
        <f aca="false">IF(OR(M193="",N193="",M193=0),"",N193/M193)</f>
        <v/>
      </c>
      <c r="P193" s="36"/>
      <c r="Q193" s="37"/>
      <c r="R193" s="38" t="str">
        <f aca="false">IF(Q193&lt;&gt;"",Q193,IF(AND(P193&lt;&gt;"",M193&lt;&gt;""),P193*12*M193,""))</f>
        <v/>
      </c>
      <c r="S193" s="32"/>
      <c r="T193" s="32"/>
      <c r="U193" s="39"/>
      <c r="V193" s="39"/>
      <c r="W193" s="34"/>
      <c r="X193" s="32"/>
      <c r="Y193" s="34"/>
      <c r="Z193" s="40" t="str">
        <f aca="false">IF(OR(V193="",Y193=""),"",V193-Y193)</f>
        <v/>
      </c>
      <c r="AA193" s="41" t="str">
        <f aca="true">IF(V193="","",V193-TODAY())</f>
        <v/>
      </c>
      <c r="AB193" s="42" t="str">
        <f aca="false">IF(V193="","",IF(AA193&lt;0,"Past due",IF(AA193&lt;=90,"0–90 days",IF(AA193&lt;=180,"91–180 days",IF(AA193&lt;=365,"181–365 days","Over a year")))))</f>
        <v/>
      </c>
      <c r="AC193" s="43"/>
      <c r="AD193" s="32"/>
      <c r="AE193" s="32"/>
      <c r="AF193" s="33"/>
      <c r="AG193" s="32"/>
      <c r="AH193" s="33"/>
      <c r="AI193" s="32"/>
      <c r="AJ193" s="33"/>
      <c r="AK193" s="32"/>
      <c r="AL193" s="32"/>
      <c r="AM193" s="33"/>
      <c r="AN193" s="31" t="str">
        <f aca="false">IF(B193="","",IFERROR(INDEX(Lookup!$B$2:$B$3000,MATCH(TRIM(B193),Lookup!$A$2:$A$3000,0)),""))</f>
        <v/>
      </c>
      <c r="AO193" s="42" t="str">
        <f aca="false">IF(B193="","",IF(AN193="","No – will be reviewed","Yes"))</f>
        <v/>
      </c>
      <c r="AP193" s="31" t="str">
        <f aca="false">IF(AN193="","",IFERROR(INDEX(Catalog!$B$5:$B$400,MATCH(AN193,Catalog!$A$5:$A$400,0)),""))</f>
        <v/>
      </c>
      <c r="AQ193" s="31" t="str">
        <f aca="false">IF(AN193="","",IFERROR(INDEX(Catalog!$C$5:$C$400,MATCH(AN193,Catalog!$A$5:$A$400,0)),""))</f>
        <v/>
      </c>
      <c r="AR193" s="31" t="str">
        <f aca="false">IF(AN193="","",IFERROR(INDEX(Catalog!$D$5:$D$400,MATCH(AN193,Catalog!$A$5:$A$400,0)),""))</f>
        <v/>
      </c>
      <c r="AS193" s="31" t="str">
        <f aca="false">IF(AN193="","",IFERROR(INDEX(Catalog!$E$5:$E$400,MATCH(AN193,Catalog!$A$5:$A$400,0)),""))</f>
        <v/>
      </c>
      <c r="AT193" s="44" t="str">
        <f aca="false">IF(AN193="","",IFERROR(INDEX(Catalog!$F$5:$F$400,MATCH(AN193,Catalog!$A$5:$A$400,0)),""))</f>
        <v/>
      </c>
      <c r="AU193" s="31" t="str">
        <f aca="false">IF(AND(B193&lt;&gt;"",ISNUMBER(V193)),V193+ROW()/100000,"")</f>
        <v/>
      </c>
    </row>
    <row r="194" customFormat="false" ht="15" hidden="false" customHeight="false" outlineLevel="0" collapsed="false">
      <c r="A194" s="31" t="str">
        <f aca="false">IF(B194="","",ROW()-5)</f>
        <v/>
      </c>
      <c r="B194" s="32"/>
      <c r="C194" s="32"/>
      <c r="D194" s="32"/>
      <c r="E194" s="32"/>
      <c r="F194" s="32"/>
      <c r="G194" s="32"/>
      <c r="H194" s="33"/>
      <c r="I194" s="33"/>
      <c r="J194" s="32"/>
      <c r="K194" s="33"/>
      <c r="L194" s="32"/>
      <c r="M194" s="34"/>
      <c r="N194" s="34"/>
      <c r="O194" s="35" t="str">
        <f aca="false">IF(OR(M194="",N194="",M194=0),"",N194/M194)</f>
        <v/>
      </c>
      <c r="P194" s="36"/>
      <c r="Q194" s="37"/>
      <c r="R194" s="38" t="str">
        <f aca="false">IF(Q194&lt;&gt;"",Q194,IF(AND(P194&lt;&gt;"",M194&lt;&gt;""),P194*12*M194,""))</f>
        <v/>
      </c>
      <c r="S194" s="32"/>
      <c r="T194" s="32"/>
      <c r="U194" s="39"/>
      <c r="V194" s="39"/>
      <c r="W194" s="34"/>
      <c r="X194" s="32"/>
      <c r="Y194" s="34"/>
      <c r="Z194" s="40" t="str">
        <f aca="false">IF(OR(V194="",Y194=""),"",V194-Y194)</f>
        <v/>
      </c>
      <c r="AA194" s="41" t="str">
        <f aca="true">IF(V194="","",V194-TODAY())</f>
        <v/>
      </c>
      <c r="AB194" s="42" t="str">
        <f aca="false">IF(V194="","",IF(AA194&lt;0,"Past due",IF(AA194&lt;=90,"0–90 days",IF(AA194&lt;=180,"91–180 days",IF(AA194&lt;=365,"181–365 days","Over a year")))))</f>
        <v/>
      </c>
      <c r="AC194" s="43"/>
      <c r="AD194" s="32"/>
      <c r="AE194" s="32"/>
      <c r="AF194" s="33"/>
      <c r="AG194" s="32"/>
      <c r="AH194" s="33"/>
      <c r="AI194" s="32"/>
      <c r="AJ194" s="33"/>
      <c r="AK194" s="32"/>
      <c r="AL194" s="32"/>
      <c r="AM194" s="33"/>
      <c r="AN194" s="31" t="str">
        <f aca="false">IF(B194="","",IFERROR(INDEX(Lookup!$B$2:$B$3000,MATCH(TRIM(B194),Lookup!$A$2:$A$3000,0)),""))</f>
        <v/>
      </c>
      <c r="AO194" s="42" t="str">
        <f aca="false">IF(B194="","",IF(AN194="","No – will be reviewed","Yes"))</f>
        <v/>
      </c>
      <c r="AP194" s="31" t="str">
        <f aca="false">IF(AN194="","",IFERROR(INDEX(Catalog!$B$5:$B$400,MATCH(AN194,Catalog!$A$5:$A$400,0)),""))</f>
        <v/>
      </c>
      <c r="AQ194" s="31" t="str">
        <f aca="false">IF(AN194="","",IFERROR(INDEX(Catalog!$C$5:$C$400,MATCH(AN194,Catalog!$A$5:$A$400,0)),""))</f>
        <v/>
      </c>
      <c r="AR194" s="31" t="str">
        <f aca="false">IF(AN194="","",IFERROR(INDEX(Catalog!$D$5:$D$400,MATCH(AN194,Catalog!$A$5:$A$400,0)),""))</f>
        <v/>
      </c>
      <c r="AS194" s="31" t="str">
        <f aca="false">IF(AN194="","",IFERROR(INDEX(Catalog!$E$5:$E$400,MATCH(AN194,Catalog!$A$5:$A$400,0)),""))</f>
        <v/>
      </c>
      <c r="AT194" s="44" t="str">
        <f aca="false">IF(AN194="","",IFERROR(INDEX(Catalog!$F$5:$F$400,MATCH(AN194,Catalog!$A$5:$A$400,0)),""))</f>
        <v/>
      </c>
      <c r="AU194" s="31" t="str">
        <f aca="false">IF(AND(B194&lt;&gt;"",ISNUMBER(V194)),V194+ROW()/100000,"")</f>
        <v/>
      </c>
    </row>
    <row r="195" customFormat="false" ht="15" hidden="false" customHeight="false" outlineLevel="0" collapsed="false">
      <c r="A195" s="31" t="str">
        <f aca="false">IF(B195="","",ROW()-5)</f>
        <v/>
      </c>
      <c r="B195" s="32"/>
      <c r="C195" s="32"/>
      <c r="D195" s="32"/>
      <c r="E195" s="32"/>
      <c r="F195" s="32"/>
      <c r="G195" s="32"/>
      <c r="H195" s="33"/>
      <c r="I195" s="33"/>
      <c r="J195" s="32"/>
      <c r="K195" s="33"/>
      <c r="L195" s="32"/>
      <c r="M195" s="34"/>
      <c r="N195" s="34"/>
      <c r="O195" s="35" t="str">
        <f aca="false">IF(OR(M195="",N195="",M195=0),"",N195/M195)</f>
        <v/>
      </c>
      <c r="P195" s="36"/>
      <c r="Q195" s="37"/>
      <c r="R195" s="38" t="str">
        <f aca="false">IF(Q195&lt;&gt;"",Q195,IF(AND(P195&lt;&gt;"",M195&lt;&gt;""),P195*12*M195,""))</f>
        <v/>
      </c>
      <c r="S195" s="32"/>
      <c r="T195" s="32"/>
      <c r="U195" s="39"/>
      <c r="V195" s="39"/>
      <c r="W195" s="34"/>
      <c r="X195" s="32"/>
      <c r="Y195" s="34"/>
      <c r="Z195" s="40" t="str">
        <f aca="false">IF(OR(V195="",Y195=""),"",V195-Y195)</f>
        <v/>
      </c>
      <c r="AA195" s="41" t="str">
        <f aca="true">IF(V195="","",V195-TODAY())</f>
        <v/>
      </c>
      <c r="AB195" s="42" t="str">
        <f aca="false">IF(V195="","",IF(AA195&lt;0,"Past due",IF(AA195&lt;=90,"0–90 days",IF(AA195&lt;=180,"91–180 days",IF(AA195&lt;=365,"181–365 days","Over a year")))))</f>
        <v/>
      </c>
      <c r="AC195" s="43"/>
      <c r="AD195" s="32"/>
      <c r="AE195" s="32"/>
      <c r="AF195" s="33"/>
      <c r="AG195" s="32"/>
      <c r="AH195" s="33"/>
      <c r="AI195" s="32"/>
      <c r="AJ195" s="33"/>
      <c r="AK195" s="32"/>
      <c r="AL195" s="32"/>
      <c r="AM195" s="33"/>
      <c r="AN195" s="31" t="str">
        <f aca="false">IF(B195="","",IFERROR(INDEX(Lookup!$B$2:$B$3000,MATCH(TRIM(B195),Lookup!$A$2:$A$3000,0)),""))</f>
        <v/>
      </c>
      <c r="AO195" s="42" t="str">
        <f aca="false">IF(B195="","",IF(AN195="","No – will be reviewed","Yes"))</f>
        <v/>
      </c>
      <c r="AP195" s="31" t="str">
        <f aca="false">IF(AN195="","",IFERROR(INDEX(Catalog!$B$5:$B$400,MATCH(AN195,Catalog!$A$5:$A$400,0)),""))</f>
        <v/>
      </c>
      <c r="AQ195" s="31" t="str">
        <f aca="false">IF(AN195="","",IFERROR(INDEX(Catalog!$C$5:$C$400,MATCH(AN195,Catalog!$A$5:$A$400,0)),""))</f>
        <v/>
      </c>
      <c r="AR195" s="31" t="str">
        <f aca="false">IF(AN195="","",IFERROR(INDEX(Catalog!$D$5:$D$400,MATCH(AN195,Catalog!$A$5:$A$400,0)),""))</f>
        <v/>
      </c>
      <c r="AS195" s="31" t="str">
        <f aca="false">IF(AN195="","",IFERROR(INDEX(Catalog!$E$5:$E$400,MATCH(AN195,Catalog!$A$5:$A$400,0)),""))</f>
        <v/>
      </c>
      <c r="AT195" s="44" t="str">
        <f aca="false">IF(AN195="","",IFERROR(INDEX(Catalog!$F$5:$F$400,MATCH(AN195,Catalog!$A$5:$A$400,0)),""))</f>
        <v/>
      </c>
      <c r="AU195" s="31" t="str">
        <f aca="false">IF(AND(B195&lt;&gt;"",ISNUMBER(V195)),V195+ROW()/100000,"")</f>
        <v/>
      </c>
    </row>
    <row r="196" customFormat="false" ht="15" hidden="false" customHeight="false" outlineLevel="0" collapsed="false">
      <c r="A196" s="31" t="str">
        <f aca="false">IF(B196="","",ROW()-5)</f>
        <v/>
      </c>
      <c r="B196" s="32"/>
      <c r="C196" s="32"/>
      <c r="D196" s="32"/>
      <c r="E196" s="32"/>
      <c r="F196" s="32"/>
      <c r="G196" s="32"/>
      <c r="H196" s="33"/>
      <c r="I196" s="33"/>
      <c r="J196" s="32"/>
      <c r="K196" s="33"/>
      <c r="L196" s="32"/>
      <c r="M196" s="34"/>
      <c r="N196" s="34"/>
      <c r="O196" s="35" t="str">
        <f aca="false">IF(OR(M196="",N196="",M196=0),"",N196/M196)</f>
        <v/>
      </c>
      <c r="P196" s="36"/>
      <c r="Q196" s="37"/>
      <c r="R196" s="38" t="str">
        <f aca="false">IF(Q196&lt;&gt;"",Q196,IF(AND(P196&lt;&gt;"",M196&lt;&gt;""),P196*12*M196,""))</f>
        <v/>
      </c>
      <c r="S196" s="32"/>
      <c r="T196" s="32"/>
      <c r="U196" s="39"/>
      <c r="V196" s="39"/>
      <c r="W196" s="34"/>
      <c r="X196" s="32"/>
      <c r="Y196" s="34"/>
      <c r="Z196" s="40" t="str">
        <f aca="false">IF(OR(V196="",Y196=""),"",V196-Y196)</f>
        <v/>
      </c>
      <c r="AA196" s="41" t="str">
        <f aca="true">IF(V196="","",V196-TODAY())</f>
        <v/>
      </c>
      <c r="AB196" s="42" t="str">
        <f aca="false">IF(V196="","",IF(AA196&lt;0,"Past due",IF(AA196&lt;=90,"0–90 days",IF(AA196&lt;=180,"91–180 days",IF(AA196&lt;=365,"181–365 days","Over a year")))))</f>
        <v/>
      </c>
      <c r="AC196" s="43"/>
      <c r="AD196" s="32"/>
      <c r="AE196" s="32"/>
      <c r="AF196" s="33"/>
      <c r="AG196" s="32"/>
      <c r="AH196" s="33"/>
      <c r="AI196" s="32"/>
      <c r="AJ196" s="33"/>
      <c r="AK196" s="32"/>
      <c r="AL196" s="32"/>
      <c r="AM196" s="33"/>
      <c r="AN196" s="31" t="str">
        <f aca="false">IF(B196="","",IFERROR(INDEX(Lookup!$B$2:$B$3000,MATCH(TRIM(B196),Lookup!$A$2:$A$3000,0)),""))</f>
        <v/>
      </c>
      <c r="AO196" s="42" t="str">
        <f aca="false">IF(B196="","",IF(AN196="","No – will be reviewed","Yes"))</f>
        <v/>
      </c>
      <c r="AP196" s="31" t="str">
        <f aca="false">IF(AN196="","",IFERROR(INDEX(Catalog!$B$5:$B$400,MATCH(AN196,Catalog!$A$5:$A$400,0)),""))</f>
        <v/>
      </c>
      <c r="AQ196" s="31" t="str">
        <f aca="false">IF(AN196="","",IFERROR(INDEX(Catalog!$C$5:$C$400,MATCH(AN196,Catalog!$A$5:$A$400,0)),""))</f>
        <v/>
      </c>
      <c r="AR196" s="31" t="str">
        <f aca="false">IF(AN196="","",IFERROR(INDEX(Catalog!$D$5:$D$400,MATCH(AN196,Catalog!$A$5:$A$400,0)),""))</f>
        <v/>
      </c>
      <c r="AS196" s="31" t="str">
        <f aca="false">IF(AN196="","",IFERROR(INDEX(Catalog!$E$5:$E$400,MATCH(AN196,Catalog!$A$5:$A$400,0)),""))</f>
        <v/>
      </c>
      <c r="AT196" s="44" t="str">
        <f aca="false">IF(AN196="","",IFERROR(INDEX(Catalog!$F$5:$F$400,MATCH(AN196,Catalog!$A$5:$A$400,0)),""))</f>
        <v/>
      </c>
      <c r="AU196" s="31" t="str">
        <f aca="false">IF(AND(B196&lt;&gt;"",ISNUMBER(V196)),V196+ROW()/100000,"")</f>
        <v/>
      </c>
    </row>
    <row r="197" customFormat="false" ht="15" hidden="false" customHeight="false" outlineLevel="0" collapsed="false">
      <c r="A197" s="31" t="str">
        <f aca="false">IF(B197="","",ROW()-5)</f>
        <v/>
      </c>
      <c r="B197" s="32"/>
      <c r="C197" s="32"/>
      <c r="D197" s="32"/>
      <c r="E197" s="32"/>
      <c r="F197" s="32"/>
      <c r="G197" s="32"/>
      <c r="H197" s="33"/>
      <c r="I197" s="33"/>
      <c r="J197" s="32"/>
      <c r="K197" s="33"/>
      <c r="L197" s="32"/>
      <c r="M197" s="34"/>
      <c r="N197" s="34"/>
      <c r="O197" s="35" t="str">
        <f aca="false">IF(OR(M197="",N197="",M197=0),"",N197/M197)</f>
        <v/>
      </c>
      <c r="P197" s="36"/>
      <c r="Q197" s="37"/>
      <c r="R197" s="38" t="str">
        <f aca="false">IF(Q197&lt;&gt;"",Q197,IF(AND(P197&lt;&gt;"",M197&lt;&gt;""),P197*12*M197,""))</f>
        <v/>
      </c>
      <c r="S197" s="32"/>
      <c r="T197" s="32"/>
      <c r="U197" s="39"/>
      <c r="V197" s="39"/>
      <c r="W197" s="34"/>
      <c r="X197" s="32"/>
      <c r="Y197" s="34"/>
      <c r="Z197" s="40" t="str">
        <f aca="false">IF(OR(V197="",Y197=""),"",V197-Y197)</f>
        <v/>
      </c>
      <c r="AA197" s="41" t="str">
        <f aca="true">IF(V197="","",V197-TODAY())</f>
        <v/>
      </c>
      <c r="AB197" s="42" t="str">
        <f aca="false">IF(V197="","",IF(AA197&lt;0,"Past due",IF(AA197&lt;=90,"0–90 days",IF(AA197&lt;=180,"91–180 days",IF(AA197&lt;=365,"181–365 days","Over a year")))))</f>
        <v/>
      </c>
      <c r="AC197" s="43"/>
      <c r="AD197" s="32"/>
      <c r="AE197" s="32"/>
      <c r="AF197" s="33"/>
      <c r="AG197" s="32"/>
      <c r="AH197" s="33"/>
      <c r="AI197" s="32"/>
      <c r="AJ197" s="33"/>
      <c r="AK197" s="32"/>
      <c r="AL197" s="32"/>
      <c r="AM197" s="33"/>
      <c r="AN197" s="31" t="str">
        <f aca="false">IF(B197="","",IFERROR(INDEX(Lookup!$B$2:$B$3000,MATCH(TRIM(B197),Lookup!$A$2:$A$3000,0)),""))</f>
        <v/>
      </c>
      <c r="AO197" s="42" t="str">
        <f aca="false">IF(B197="","",IF(AN197="","No – will be reviewed","Yes"))</f>
        <v/>
      </c>
      <c r="AP197" s="31" t="str">
        <f aca="false">IF(AN197="","",IFERROR(INDEX(Catalog!$B$5:$B$400,MATCH(AN197,Catalog!$A$5:$A$400,0)),""))</f>
        <v/>
      </c>
      <c r="AQ197" s="31" t="str">
        <f aca="false">IF(AN197="","",IFERROR(INDEX(Catalog!$C$5:$C$400,MATCH(AN197,Catalog!$A$5:$A$400,0)),""))</f>
        <v/>
      </c>
      <c r="AR197" s="31" t="str">
        <f aca="false">IF(AN197="","",IFERROR(INDEX(Catalog!$D$5:$D$400,MATCH(AN197,Catalog!$A$5:$A$400,0)),""))</f>
        <v/>
      </c>
      <c r="AS197" s="31" t="str">
        <f aca="false">IF(AN197="","",IFERROR(INDEX(Catalog!$E$5:$E$400,MATCH(AN197,Catalog!$A$5:$A$400,0)),""))</f>
        <v/>
      </c>
      <c r="AT197" s="44" t="str">
        <f aca="false">IF(AN197="","",IFERROR(INDEX(Catalog!$F$5:$F$400,MATCH(AN197,Catalog!$A$5:$A$400,0)),""))</f>
        <v/>
      </c>
      <c r="AU197" s="31" t="str">
        <f aca="false">IF(AND(B197&lt;&gt;"",ISNUMBER(V197)),V197+ROW()/100000,"")</f>
        <v/>
      </c>
    </row>
    <row r="198" customFormat="false" ht="15" hidden="false" customHeight="false" outlineLevel="0" collapsed="false">
      <c r="A198" s="31" t="str">
        <f aca="false">IF(B198="","",ROW()-5)</f>
        <v/>
      </c>
      <c r="B198" s="32"/>
      <c r="C198" s="32"/>
      <c r="D198" s="32"/>
      <c r="E198" s="32"/>
      <c r="F198" s="32"/>
      <c r="G198" s="32"/>
      <c r="H198" s="33"/>
      <c r="I198" s="33"/>
      <c r="J198" s="32"/>
      <c r="K198" s="33"/>
      <c r="L198" s="32"/>
      <c r="M198" s="34"/>
      <c r="N198" s="34"/>
      <c r="O198" s="35" t="str">
        <f aca="false">IF(OR(M198="",N198="",M198=0),"",N198/M198)</f>
        <v/>
      </c>
      <c r="P198" s="36"/>
      <c r="Q198" s="37"/>
      <c r="R198" s="38" t="str">
        <f aca="false">IF(Q198&lt;&gt;"",Q198,IF(AND(P198&lt;&gt;"",M198&lt;&gt;""),P198*12*M198,""))</f>
        <v/>
      </c>
      <c r="S198" s="32"/>
      <c r="T198" s="32"/>
      <c r="U198" s="39"/>
      <c r="V198" s="39"/>
      <c r="W198" s="34"/>
      <c r="X198" s="32"/>
      <c r="Y198" s="34"/>
      <c r="Z198" s="40" t="str">
        <f aca="false">IF(OR(V198="",Y198=""),"",V198-Y198)</f>
        <v/>
      </c>
      <c r="AA198" s="41" t="str">
        <f aca="true">IF(V198="","",V198-TODAY())</f>
        <v/>
      </c>
      <c r="AB198" s="42" t="str">
        <f aca="false">IF(V198="","",IF(AA198&lt;0,"Past due",IF(AA198&lt;=90,"0–90 days",IF(AA198&lt;=180,"91–180 days",IF(AA198&lt;=365,"181–365 days","Over a year")))))</f>
        <v/>
      </c>
      <c r="AC198" s="43"/>
      <c r="AD198" s="32"/>
      <c r="AE198" s="32"/>
      <c r="AF198" s="33"/>
      <c r="AG198" s="32"/>
      <c r="AH198" s="33"/>
      <c r="AI198" s="32"/>
      <c r="AJ198" s="33"/>
      <c r="AK198" s="32"/>
      <c r="AL198" s="32"/>
      <c r="AM198" s="33"/>
      <c r="AN198" s="31" t="str">
        <f aca="false">IF(B198="","",IFERROR(INDEX(Lookup!$B$2:$B$3000,MATCH(TRIM(B198),Lookup!$A$2:$A$3000,0)),""))</f>
        <v/>
      </c>
      <c r="AO198" s="42" t="str">
        <f aca="false">IF(B198="","",IF(AN198="","No – will be reviewed","Yes"))</f>
        <v/>
      </c>
      <c r="AP198" s="31" t="str">
        <f aca="false">IF(AN198="","",IFERROR(INDEX(Catalog!$B$5:$B$400,MATCH(AN198,Catalog!$A$5:$A$400,0)),""))</f>
        <v/>
      </c>
      <c r="AQ198" s="31" t="str">
        <f aca="false">IF(AN198="","",IFERROR(INDEX(Catalog!$C$5:$C$400,MATCH(AN198,Catalog!$A$5:$A$400,0)),""))</f>
        <v/>
      </c>
      <c r="AR198" s="31" t="str">
        <f aca="false">IF(AN198="","",IFERROR(INDEX(Catalog!$D$5:$D$400,MATCH(AN198,Catalog!$A$5:$A$400,0)),""))</f>
        <v/>
      </c>
      <c r="AS198" s="31" t="str">
        <f aca="false">IF(AN198="","",IFERROR(INDEX(Catalog!$E$5:$E$400,MATCH(AN198,Catalog!$A$5:$A$400,0)),""))</f>
        <v/>
      </c>
      <c r="AT198" s="44" t="str">
        <f aca="false">IF(AN198="","",IFERROR(INDEX(Catalog!$F$5:$F$400,MATCH(AN198,Catalog!$A$5:$A$400,0)),""))</f>
        <v/>
      </c>
      <c r="AU198" s="31" t="str">
        <f aca="false">IF(AND(B198&lt;&gt;"",ISNUMBER(V198)),V198+ROW()/100000,"")</f>
        <v/>
      </c>
    </row>
    <row r="199" customFormat="false" ht="15" hidden="false" customHeight="false" outlineLevel="0" collapsed="false">
      <c r="A199" s="31" t="str">
        <f aca="false">IF(B199="","",ROW()-5)</f>
        <v/>
      </c>
      <c r="B199" s="32"/>
      <c r="C199" s="32"/>
      <c r="D199" s="32"/>
      <c r="E199" s="32"/>
      <c r="F199" s="32"/>
      <c r="G199" s="32"/>
      <c r="H199" s="33"/>
      <c r="I199" s="33"/>
      <c r="J199" s="32"/>
      <c r="K199" s="33"/>
      <c r="L199" s="32"/>
      <c r="M199" s="34"/>
      <c r="N199" s="34"/>
      <c r="O199" s="35" t="str">
        <f aca="false">IF(OR(M199="",N199="",M199=0),"",N199/M199)</f>
        <v/>
      </c>
      <c r="P199" s="36"/>
      <c r="Q199" s="37"/>
      <c r="R199" s="38" t="str">
        <f aca="false">IF(Q199&lt;&gt;"",Q199,IF(AND(P199&lt;&gt;"",M199&lt;&gt;""),P199*12*M199,""))</f>
        <v/>
      </c>
      <c r="S199" s="32"/>
      <c r="T199" s="32"/>
      <c r="U199" s="39"/>
      <c r="V199" s="39"/>
      <c r="W199" s="34"/>
      <c r="X199" s="32"/>
      <c r="Y199" s="34"/>
      <c r="Z199" s="40" t="str">
        <f aca="false">IF(OR(V199="",Y199=""),"",V199-Y199)</f>
        <v/>
      </c>
      <c r="AA199" s="41" t="str">
        <f aca="true">IF(V199="","",V199-TODAY())</f>
        <v/>
      </c>
      <c r="AB199" s="42" t="str">
        <f aca="false">IF(V199="","",IF(AA199&lt;0,"Past due",IF(AA199&lt;=90,"0–90 days",IF(AA199&lt;=180,"91–180 days",IF(AA199&lt;=365,"181–365 days","Over a year")))))</f>
        <v/>
      </c>
      <c r="AC199" s="43"/>
      <c r="AD199" s="32"/>
      <c r="AE199" s="32"/>
      <c r="AF199" s="33"/>
      <c r="AG199" s="32"/>
      <c r="AH199" s="33"/>
      <c r="AI199" s="32"/>
      <c r="AJ199" s="33"/>
      <c r="AK199" s="32"/>
      <c r="AL199" s="32"/>
      <c r="AM199" s="33"/>
      <c r="AN199" s="31" t="str">
        <f aca="false">IF(B199="","",IFERROR(INDEX(Lookup!$B$2:$B$3000,MATCH(TRIM(B199),Lookup!$A$2:$A$3000,0)),""))</f>
        <v/>
      </c>
      <c r="AO199" s="42" t="str">
        <f aca="false">IF(B199="","",IF(AN199="","No – will be reviewed","Yes"))</f>
        <v/>
      </c>
      <c r="AP199" s="31" t="str">
        <f aca="false">IF(AN199="","",IFERROR(INDEX(Catalog!$B$5:$B$400,MATCH(AN199,Catalog!$A$5:$A$400,0)),""))</f>
        <v/>
      </c>
      <c r="AQ199" s="31" t="str">
        <f aca="false">IF(AN199="","",IFERROR(INDEX(Catalog!$C$5:$C$400,MATCH(AN199,Catalog!$A$5:$A$400,0)),""))</f>
        <v/>
      </c>
      <c r="AR199" s="31" t="str">
        <f aca="false">IF(AN199="","",IFERROR(INDEX(Catalog!$D$5:$D$400,MATCH(AN199,Catalog!$A$5:$A$400,0)),""))</f>
        <v/>
      </c>
      <c r="AS199" s="31" t="str">
        <f aca="false">IF(AN199="","",IFERROR(INDEX(Catalog!$E$5:$E$400,MATCH(AN199,Catalog!$A$5:$A$400,0)),""))</f>
        <v/>
      </c>
      <c r="AT199" s="44" t="str">
        <f aca="false">IF(AN199="","",IFERROR(INDEX(Catalog!$F$5:$F$400,MATCH(AN199,Catalog!$A$5:$A$400,0)),""))</f>
        <v/>
      </c>
      <c r="AU199" s="31" t="str">
        <f aca="false">IF(AND(B199&lt;&gt;"",ISNUMBER(V199)),V199+ROW()/100000,"")</f>
        <v/>
      </c>
    </row>
    <row r="200" customFormat="false" ht="15" hidden="false" customHeight="false" outlineLevel="0" collapsed="false">
      <c r="A200" s="31" t="str">
        <f aca="false">IF(B200="","",ROW()-5)</f>
        <v/>
      </c>
      <c r="B200" s="32"/>
      <c r="C200" s="32"/>
      <c r="D200" s="32"/>
      <c r="E200" s="32"/>
      <c r="F200" s="32"/>
      <c r="G200" s="32"/>
      <c r="H200" s="33"/>
      <c r="I200" s="33"/>
      <c r="J200" s="32"/>
      <c r="K200" s="33"/>
      <c r="L200" s="32"/>
      <c r="M200" s="34"/>
      <c r="N200" s="34"/>
      <c r="O200" s="35" t="str">
        <f aca="false">IF(OR(M200="",N200="",M200=0),"",N200/M200)</f>
        <v/>
      </c>
      <c r="P200" s="36"/>
      <c r="Q200" s="37"/>
      <c r="R200" s="38" t="str">
        <f aca="false">IF(Q200&lt;&gt;"",Q200,IF(AND(P200&lt;&gt;"",M200&lt;&gt;""),P200*12*M200,""))</f>
        <v/>
      </c>
      <c r="S200" s="32"/>
      <c r="T200" s="32"/>
      <c r="U200" s="39"/>
      <c r="V200" s="39"/>
      <c r="W200" s="34"/>
      <c r="X200" s="32"/>
      <c r="Y200" s="34"/>
      <c r="Z200" s="40" t="str">
        <f aca="false">IF(OR(V200="",Y200=""),"",V200-Y200)</f>
        <v/>
      </c>
      <c r="AA200" s="41" t="str">
        <f aca="true">IF(V200="","",V200-TODAY())</f>
        <v/>
      </c>
      <c r="AB200" s="42" t="str">
        <f aca="false">IF(V200="","",IF(AA200&lt;0,"Past due",IF(AA200&lt;=90,"0–90 days",IF(AA200&lt;=180,"91–180 days",IF(AA200&lt;=365,"181–365 days","Over a year")))))</f>
        <v/>
      </c>
      <c r="AC200" s="43"/>
      <c r="AD200" s="32"/>
      <c r="AE200" s="32"/>
      <c r="AF200" s="33"/>
      <c r="AG200" s="32"/>
      <c r="AH200" s="33"/>
      <c r="AI200" s="32"/>
      <c r="AJ200" s="33"/>
      <c r="AK200" s="32"/>
      <c r="AL200" s="32"/>
      <c r="AM200" s="33"/>
      <c r="AN200" s="31" t="str">
        <f aca="false">IF(B200="","",IFERROR(INDEX(Lookup!$B$2:$B$3000,MATCH(TRIM(B200),Lookup!$A$2:$A$3000,0)),""))</f>
        <v/>
      </c>
      <c r="AO200" s="42" t="str">
        <f aca="false">IF(B200="","",IF(AN200="","No – will be reviewed","Yes"))</f>
        <v/>
      </c>
      <c r="AP200" s="31" t="str">
        <f aca="false">IF(AN200="","",IFERROR(INDEX(Catalog!$B$5:$B$400,MATCH(AN200,Catalog!$A$5:$A$400,0)),""))</f>
        <v/>
      </c>
      <c r="AQ200" s="31" t="str">
        <f aca="false">IF(AN200="","",IFERROR(INDEX(Catalog!$C$5:$C$400,MATCH(AN200,Catalog!$A$5:$A$400,0)),""))</f>
        <v/>
      </c>
      <c r="AR200" s="31" t="str">
        <f aca="false">IF(AN200="","",IFERROR(INDEX(Catalog!$D$5:$D$400,MATCH(AN200,Catalog!$A$5:$A$400,0)),""))</f>
        <v/>
      </c>
      <c r="AS200" s="31" t="str">
        <f aca="false">IF(AN200="","",IFERROR(INDEX(Catalog!$E$5:$E$400,MATCH(AN200,Catalog!$A$5:$A$400,0)),""))</f>
        <v/>
      </c>
      <c r="AT200" s="44" t="str">
        <f aca="false">IF(AN200="","",IFERROR(INDEX(Catalog!$F$5:$F$400,MATCH(AN200,Catalog!$A$5:$A$400,0)),""))</f>
        <v/>
      </c>
      <c r="AU200" s="31" t="str">
        <f aca="false">IF(AND(B200&lt;&gt;"",ISNUMBER(V200)),V200+ROW()/100000,"")</f>
        <v/>
      </c>
    </row>
    <row r="201" customFormat="false" ht="15" hidden="false" customHeight="false" outlineLevel="0" collapsed="false">
      <c r="A201" s="31" t="str">
        <f aca="false">IF(B201="","",ROW()-5)</f>
        <v/>
      </c>
      <c r="B201" s="32"/>
      <c r="C201" s="32"/>
      <c r="D201" s="32"/>
      <c r="E201" s="32"/>
      <c r="F201" s="32"/>
      <c r="G201" s="32"/>
      <c r="H201" s="33"/>
      <c r="I201" s="33"/>
      <c r="J201" s="32"/>
      <c r="K201" s="33"/>
      <c r="L201" s="32"/>
      <c r="M201" s="34"/>
      <c r="N201" s="34"/>
      <c r="O201" s="35" t="str">
        <f aca="false">IF(OR(M201="",N201="",M201=0),"",N201/M201)</f>
        <v/>
      </c>
      <c r="P201" s="36"/>
      <c r="Q201" s="37"/>
      <c r="R201" s="38" t="str">
        <f aca="false">IF(Q201&lt;&gt;"",Q201,IF(AND(P201&lt;&gt;"",M201&lt;&gt;""),P201*12*M201,""))</f>
        <v/>
      </c>
      <c r="S201" s="32"/>
      <c r="T201" s="32"/>
      <c r="U201" s="39"/>
      <c r="V201" s="39"/>
      <c r="W201" s="34"/>
      <c r="X201" s="32"/>
      <c r="Y201" s="34"/>
      <c r="Z201" s="40" t="str">
        <f aca="false">IF(OR(V201="",Y201=""),"",V201-Y201)</f>
        <v/>
      </c>
      <c r="AA201" s="41" t="str">
        <f aca="true">IF(V201="","",V201-TODAY())</f>
        <v/>
      </c>
      <c r="AB201" s="42" t="str">
        <f aca="false">IF(V201="","",IF(AA201&lt;0,"Past due",IF(AA201&lt;=90,"0–90 days",IF(AA201&lt;=180,"91–180 days",IF(AA201&lt;=365,"181–365 days","Over a year")))))</f>
        <v/>
      </c>
      <c r="AC201" s="43"/>
      <c r="AD201" s="32"/>
      <c r="AE201" s="32"/>
      <c r="AF201" s="33"/>
      <c r="AG201" s="32"/>
      <c r="AH201" s="33"/>
      <c r="AI201" s="32"/>
      <c r="AJ201" s="33"/>
      <c r="AK201" s="32"/>
      <c r="AL201" s="32"/>
      <c r="AM201" s="33"/>
      <c r="AN201" s="31" t="str">
        <f aca="false">IF(B201="","",IFERROR(INDEX(Lookup!$B$2:$B$3000,MATCH(TRIM(B201),Lookup!$A$2:$A$3000,0)),""))</f>
        <v/>
      </c>
      <c r="AO201" s="42" t="str">
        <f aca="false">IF(B201="","",IF(AN201="","No – will be reviewed","Yes"))</f>
        <v/>
      </c>
      <c r="AP201" s="31" t="str">
        <f aca="false">IF(AN201="","",IFERROR(INDEX(Catalog!$B$5:$B$400,MATCH(AN201,Catalog!$A$5:$A$400,0)),""))</f>
        <v/>
      </c>
      <c r="AQ201" s="31" t="str">
        <f aca="false">IF(AN201="","",IFERROR(INDEX(Catalog!$C$5:$C$400,MATCH(AN201,Catalog!$A$5:$A$400,0)),""))</f>
        <v/>
      </c>
      <c r="AR201" s="31" t="str">
        <f aca="false">IF(AN201="","",IFERROR(INDEX(Catalog!$D$5:$D$400,MATCH(AN201,Catalog!$A$5:$A$400,0)),""))</f>
        <v/>
      </c>
      <c r="AS201" s="31" t="str">
        <f aca="false">IF(AN201="","",IFERROR(INDEX(Catalog!$E$5:$E$400,MATCH(AN201,Catalog!$A$5:$A$400,0)),""))</f>
        <v/>
      </c>
      <c r="AT201" s="44" t="str">
        <f aca="false">IF(AN201="","",IFERROR(INDEX(Catalog!$F$5:$F$400,MATCH(AN201,Catalog!$A$5:$A$400,0)),""))</f>
        <v/>
      </c>
      <c r="AU201" s="31" t="str">
        <f aca="false">IF(AND(B201&lt;&gt;"",ISNUMBER(V201)),V201+ROW()/100000,"")</f>
        <v/>
      </c>
    </row>
    <row r="202" customFormat="false" ht="15" hidden="false" customHeight="false" outlineLevel="0" collapsed="false">
      <c r="A202" s="31" t="str">
        <f aca="false">IF(B202="","",ROW()-5)</f>
        <v/>
      </c>
      <c r="B202" s="32"/>
      <c r="C202" s="32"/>
      <c r="D202" s="32"/>
      <c r="E202" s="32"/>
      <c r="F202" s="32"/>
      <c r="G202" s="32"/>
      <c r="H202" s="33"/>
      <c r="I202" s="33"/>
      <c r="J202" s="32"/>
      <c r="K202" s="33"/>
      <c r="L202" s="32"/>
      <c r="M202" s="34"/>
      <c r="N202" s="34"/>
      <c r="O202" s="35" t="str">
        <f aca="false">IF(OR(M202="",N202="",M202=0),"",N202/M202)</f>
        <v/>
      </c>
      <c r="P202" s="36"/>
      <c r="Q202" s="37"/>
      <c r="R202" s="38" t="str">
        <f aca="false">IF(Q202&lt;&gt;"",Q202,IF(AND(P202&lt;&gt;"",M202&lt;&gt;""),P202*12*M202,""))</f>
        <v/>
      </c>
      <c r="S202" s="32"/>
      <c r="T202" s="32"/>
      <c r="U202" s="39"/>
      <c r="V202" s="39"/>
      <c r="W202" s="34"/>
      <c r="X202" s="32"/>
      <c r="Y202" s="34"/>
      <c r="Z202" s="40" t="str">
        <f aca="false">IF(OR(V202="",Y202=""),"",V202-Y202)</f>
        <v/>
      </c>
      <c r="AA202" s="41" t="str">
        <f aca="true">IF(V202="","",V202-TODAY())</f>
        <v/>
      </c>
      <c r="AB202" s="42" t="str">
        <f aca="false">IF(V202="","",IF(AA202&lt;0,"Past due",IF(AA202&lt;=90,"0–90 days",IF(AA202&lt;=180,"91–180 days",IF(AA202&lt;=365,"181–365 days","Over a year")))))</f>
        <v/>
      </c>
      <c r="AC202" s="43"/>
      <c r="AD202" s="32"/>
      <c r="AE202" s="32"/>
      <c r="AF202" s="33"/>
      <c r="AG202" s="32"/>
      <c r="AH202" s="33"/>
      <c r="AI202" s="32"/>
      <c r="AJ202" s="33"/>
      <c r="AK202" s="32"/>
      <c r="AL202" s="32"/>
      <c r="AM202" s="33"/>
      <c r="AN202" s="31" t="str">
        <f aca="false">IF(B202="","",IFERROR(INDEX(Lookup!$B$2:$B$3000,MATCH(TRIM(B202),Lookup!$A$2:$A$3000,0)),""))</f>
        <v/>
      </c>
      <c r="AO202" s="42" t="str">
        <f aca="false">IF(B202="","",IF(AN202="","No – will be reviewed","Yes"))</f>
        <v/>
      </c>
      <c r="AP202" s="31" t="str">
        <f aca="false">IF(AN202="","",IFERROR(INDEX(Catalog!$B$5:$B$400,MATCH(AN202,Catalog!$A$5:$A$400,0)),""))</f>
        <v/>
      </c>
      <c r="AQ202" s="31" t="str">
        <f aca="false">IF(AN202="","",IFERROR(INDEX(Catalog!$C$5:$C$400,MATCH(AN202,Catalog!$A$5:$A$400,0)),""))</f>
        <v/>
      </c>
      <c r="AR202" s="31" t="str">
        <f aca="false">IF(AN202="","",IFERROR(INDEX(Catalog!$D$5:$D$400,MATCH(AN202,Catalog!$A$5:$A$400,0)),""))</f>
        <v/>
      </c>
      <c r="AS202" s="31" t="str">
        <f aca="false">IF(AN202="","",IFERROR(INDEX(Catalog!$E$5:$E$400,MATCH(AN202,Catalog!$A$5:$A$400,0)),""))</f>
        <v/>
      </c>
      <c r="AT202" s="44" t="str">
        <f aca="false">IF(AN202="","",IFERROR(INDEX(Catalog!$F$5:$F$400,MATCH(AN202,Catalog!$A$5:$A$400,0)),""))</f>
        <v/>
      </c>
      <c r="AU202" s="31" t="str">
        <f aca="false">IF(AND(B202&lt;&gt;"",ISNUMBER(V202)),V202+ROW()/100000,"")</f>
        <v/>
      </c>
    </row>
    <row r="203" customFormat="false" ht="15" hidden="false" customHeight="false" outlineLevel="0" collapsed="false">
      <c r="A203" s="31" t="str">
        <f aca="false">IF(B203="","",ROW()-5)</f>
        <v/>
      </c>
      <c r="B203" s="32"/>
      <c r="C203" s="32"/>
      <c r="D203" s="32"/>
      <c r="E203" s="32"/>
      <c r="F203" s="32"/>
      <c r="G203" s="32"/>
      <c r="H203" s="33"/>
      <c r="I203" s="33"/>
      <c r="J203" s="32"/>
      <c r="K203" s="33"/>
      <c r="L203" s="32"/>
      <c r="M203" s="34"/>
      <c r="N203" s="34"/>
      <c r="O203" s="35" t="str">
        <f aca="false">IF(OR(M203="",N203="",M203=0),"",N203/M203)</f>
        <v/>
      </c>
      <c r="P203" s="36"/>
      <c r="Q203" s="37"/>
      <c r="R203" s="38" t="str">
        <f aca="false">IF(Q203&lt;&gt;"",Q203,IF(AND(P203&lt;&gt;"",M203&lt;&gt;""),P203*12*M203,""))</f>
        <v/>
      </c>
      <c r="S203" s="32"/>
      <c r="T203" s="32"/>
      <c r="U203" s="39"/>
      <c r="V203" s="39"/>
      <c r="W203" s="34"/>
      <c r="X203" s="32"/>
      <c r="Y203" s="34"/>
      <c r="Z203" s="40" t="str">
        <f aca="false">IF(OR(V203="",Y203=""),"",V203-Y203)</f>
        <v/>
      </c>
      <c r="AA203" s="41" t="str">
        <f aca="true">IF(V203="","",V203-TODAY())</f>
        <v/>
      </c>
      <c r="AB203" s="42" t="str">
        <f aca="false">IF(V203="","",IF(AA203&lt;0,"Past due",IF(AA203&lt;=90,"0–90 days",IF(AA203&lt;=180,"91–180 days",IF(AA203&lt;=365,"181–365 days","Over a year")))))</f>
        <v/>
      </c>
      <c r="AC203" s="43"/>
      <c r="AD203" s="32"/>
      <c r="AE203" s="32"/>
      <c r="AF203" s="33"/>
      <c r="AG203" s="32"/>
      <c r="AH203" s="33"/>
      <c r="AI203" s="32"/>
      <c r="AJ203" s="33"/>
      <c r="AK203" s="32"/>
      <c r="AL203" s="32"/>
      <c r="AM203" s="33"/>
      <c r="AN203" s="31" t="str">
        <f aca="false">IF(B203="","",IFERROR(INDEX(Lookup!$B$2:$B$3000,MATCH(TRIM(B203),Lookup!$A$2:$A$3000,0)),""))</f>
        <v/>
      </c>
      <c r="AO203" s="42" t="str">
        <f aca="false">IF(B203="","",IF(AN203="","No – will be reviewed","Yes"))</f>
        <v/>
      </c>
      <c r="AP203" s="31" t="str">
        <f aca="false">IF(AN203="","",IFERROR(INDEX(Catalog!$B$5:$B$400,MATCH(AN203,Catalog!$A$5:$A$400,0)),""))</f>
        <v/>
      </c>
      <c r="AQ203" s="31" t="str">
        <f aca="false">IF(AN203="","",IFERROR(INDEX(Catalog!$C$5:$C$400,MATCH(AN203,Catalog!$A$5:$A$400,0)),""))</f>
        <v/>
      </c>
      <c r="AR203" s="31" t="str">
        <f aca="false">IF(AN203="","",IFERROR(INDEX(Catalog!$D$5:$D$400,MATCH(AN203,Catalog!$A$5:$A$400,0)),""))</f>
        <v/>
      </c>
      <c r="AS203" s="31" t="str">
        <f aca="false">IF(AN203="","",IFERROR(INDEX(Catalog!$E$5:$E$400,MATCH(AN203,Catalog!$A$5:$A$400,0)),""))</f>
        <v/>
      </c>
      <c r="AT203" s="44" t="str">
        <f aca="false">IF(AN203="","",IFERROR(INDEX(Catalog!$F$5:$F$400,MATCH(AN203,Catalog!$A$5:$A$400,0)),""))</f>
        <v/>
      </c>
      <c r="AU203" s="31" t="str">
        <f aca="false">IF(AND(B203&lt;&gt;"",ISNUMBER(V203)),V203+ROW()/100000,"")</f>
        <v/>
      </c>
    </row>
    <row r="204" customFormat="false" ht="15" hidden="false" customHeight="false" outlineLevel="0" collapsed="false">
      <c r="A204" s="31" t="str">
        <f aca="false">IF(B204="","",ROW()-5)</f>
        <v/>
      </c>
      <c r="B204" s="32"/>
      <c r="C204" s="32"/>
      <c r="D204" s="32"/>
      <c r="E204" s="32"/>
      <c r="F204" s="32"/>
      <c r="G204" s="32"/>
      <c r="H204" s="33"/>
      <c r="I204" s="33"/>
      <c r="J204" s="32"/>
      <c r="K204" s="33"/>
      <c r="L204" s="32"/>
      <c r="M204" s="34"/>
      <c r="N204" s="34"/>
      <c r="O204" s="35" t="str">
        <f aca="false">IF(OR(M204="",N204="",M204=0),"",N204/M204)</f>
        <v/>
      </c>
      <c r="P204" s="36"/>
      <c r="Q204" s="37"/>
      <c r="R204" s="38" t="str">
        <f aca="false">IF(Q204&lt;&gt;"",Q204,IF(AND(P204&lt;&gt;"",M204&lt;&gt;""),P204*12*M204,""))</f>
        <v/>
      </c>
      <c r="S204" s="32"/>
      <c r="T204" s="32"/>
      <c r="U204" s="39"/>
      <c r="V204" s="39"/>
      <c r="W204" s="34"/>
      <c r="X204" s="32"/>
      <c r="Y204" s="34"/>
      <c r="Z204" s="40" t="str">
        <f aca="false">IF(OR(V204="",Y204=""),"",V204-Y204)</f>
        <v/>
      </c>
      <c r="AA204" s="41" t="str">
        <f aca="true">IF(V204="","",V204-TODAY())</f>
        <v/>
      </c>
      <c r="AB204" s="42" t="str">
        <f aca="false">IF(V204="","",IF(AA204&lt;0,"Past due",IF(AA204&lt;=90,"0–90 days",IF(AA204&lt;=180,"91–180 days",IF(AA204&lt;=365,"181–365 days","Over a year")))))</f>
        <v/>
      </c>
      <c r="AC204" s="43"/>
      <c r="AD204" s="32"/>
      <c r="AE204" s="32"/>
      <c r="AF204" s="33"/>
      <c r="AG204" s="32"/>
      <c r="AH204" s="33"/>
      <c r="AI204" s="32"/>
      <c r="AJ204" s="33"/>
      <c r="AK204" s="32"/>
      <c r="AL204" s="32"/>
      <c r="AM204" s="33"/>
      <c r="AN204" s="31" t="str">
        <f aca="false">IF(B204="","",IFERROR(INDEX(Lookup!$B$2:$B$3000,MATCH(TRIM(B204),Lookup!$A$2:$A$3000,0)),""))</f>
        <v/>
      </c>
      <c r="AO204" s="42" t="str">
        <f aca="false">IF(B204="","",IF(AN204="","No – will be reviewed","Yes"))</f>
        <v/>
      </c>
      <c r="AP204" s="31" t="str">
        <f aca="false">IF(AN204="","",IFERROR(INDEX(Catalog!$B$5:$B$400,MATCH(AN204,Catalog!$A$5:$A$400,0)),""))</f>
        <v/>
      </c>
      <c r="AQ204" s="31" t="str">
        <f aca="false">IF(AN204="","",IFERROR(INDEX(Catalog!$C$5:$C$400,MATCH(AN204,Catalog!$A$5:$A$400,0)),""))</f>
        <v/>
      </c>
      <c r="AR204" s="31" t="str">
        <f aca="false">IF(AN204="","",IFERROR(INDEX(Catalog!$D$5:$D$400,MATCH(AN204,Catalog!$A$5:$A$400,0)),""))</f>
        <v/>
      </c>
      <c r="AS204" s="31" t="str">
        <f aca="false">IF(AN204="","",IFERROR(INDEX(Catalog!$E$5:$E$400,MATCH(AN204,Catalog!$A$5:$A$400,0)),""))</f>
        <v/>
      </c>
      <c r="AT204" s="44" t="str">
        <f aca="false">IF(AN204="","",IFERROR(INDEX(Catalog!$F$5:$F$400,MATCH(AN204,Catalog!$A$5:$A$400,0)),""))</f>
        <v/>
      </c>
      <c r="AU204" s="31" t="str">
        <f aca="false">IF(AND(B204&lt;&gt;"",ISNUMBER(V204)),V204+ROW()/100000,"")</f>
        <v/>
      </c>
    </row>
    <row r="205" customFormat="false" ht="15" hidden="false" customHeight="false" outlineLevel="0" collapsed="false">
      <c r="A205" s="31" t="str">
        <f aca="false">IF(B205="","",ROW()-5)</f>
        <v/>
      </c>
      <c r="B205" s="32"/>
      <c r="C205" s="32"/>
      <c r="D205" s="32"/>
      <c r="E205" s="32"/>
      <c r="F205" s="32"/>
      <c r="G205" s="32"/>
      <c r="H205" s="33"/>
      <c r="I205" s="33"/>
      <c r="J205" s="32"/>
      <c r="K205" s="33"/>
      <c r="L205" s="32"/>
      <c r="M205" s="34"/>
      <c r="N205" s="34"/>
      <c r="O205" s="35" t="str">
        <f aca="false">IF(OR(M205="",N205="",M205=0),"",N205/M205)</f>
        <v/>
      </c>
      <c r="P205" s="36"/>
      <c r="Q205" s="37"/>
      <c r="R205" s="38" t="str">
        <f aca="false">IF(Q205&lt;&gt;"",Q205,IF(AND(P205&lt;&gt;"",M205&lt;&gt;""),P205*12*M205,""))</f>
        <v/>
      </c>
      <c r="S205" s="32"/>
      <c r="T205" s="32"/>
      <c r="U205" s="39"/>
      <c r="V205" s="39"/>
      <c r="W205" s="34"/>
      <c r="X205" s="32"/>
      <c r="Y205" s="34"/>
      <c r="Z205" s="40" t="str">
        <f aca="false">IF(OR(V205="",Y205=""),"",V205-Y205)</f>
        <v/>
      </c>
      <c r="AA205" s="41" t="str">
        <f aca="true">IF(V205="","",V205-TODAY())</f>
        <v/>
      </c>
      <c r="AB205" s="42" t="str">
        <f aca="false">IF(V205="","",IF(AA205&lt;0,"Past due",IF(AA205&lt;=90,"0–90 days",IF(AA205&lt;=180,"91–180 days",IF(AA205&lt;=365,"181–365 days","Over a year")))))</f>
        <v/>
      </c>
      <c r="AC205" s="43"/>
      <c r="AD205" s="32"/>
      <c r="AE205" s="32"/>
      <c r="AF205" s="33"/>
      <c r="AG205" s="32"/>
      <c r="AH205" s="33"/>
      <c r="AI205" s="32"/>
      <c r="AJ205" s="33"/>
      <c r="AK205" s="32"/>
      <c r="AL205" s="32"/>
      <c r="AM205" s="33"/>
      <c r="AN205" s="31" t="str">
        <f aca="false">IF(B205="","",IFERROR(INDEX(Lookup!$B$2:$B$3000,MATCH(TRIM(B205),Lookup!$A$2:$A$3000,0)),""))</f>
        <v/>
      </c>
      <c r="AO205" s="42" t="str">
        <f aca="false">IF(B205="","",IF(AN205="","No – will be reviewed","Yes"))</f>
        <v/>
      </c>
      <c r="AP205" s="31" t="str">
        <f aca="false">IF(AN205="","",IFERROR(INDEX(Catalog!$B$5:$B$400,MATCH(AN205,Catalog!$A$5:$A$400,0)),""))</f>
        <v/>
      </c>
      <c r="AQ205" s="31" t="str">
        <f aca="false">IF(AN205="","",IFERROR(INDEX(Catalog!$C$5:$C$400,MATCH(AN205,Catalog!$A$5:$A$400,0)),""))</f>
        <v/>
      </c>
      <c r="AR205" s="31" t="str">
        <f aca="false">IF(AN205="","",IFERROR(INDEX(Catalog!$D$5:$D$400,MATCH(AN205,Catalog!$A$5:$A$400,0)),""))</f>
        <v/>
      </c>
      <c r="AS205" s="31" t="str">
        <f aca="false">IF(AN205="","",IFERROR(INDEX(Catalog!$E$5:$E$400,MATCH(AN205,Catalog!$A$5:$A$400,0)),""))</f>
        <v/>
      </c>
      <c r="AT205" s="44" t="str">
        <f aca="false">IF(AN205="","",IFERROR(INDEX(Catalog!$F$5:$F$400,MATCH(AN205,Catalog!$A$5:$A$400,0)),""))</f>
        <v/>
      </c>
      <c r="AU205" s="31" t="str">
        <f aca="false">IF(AND(B205&lt;&gt;"",ISNUMBER(V205)),V205+ROW()/100000,"")</f>
        <v/>
      </c>
    </row>
    <row r="206" customFormat="false" ht="15" hidden="false" customHeight="false" outlineLevel="0" collapsed="false">
      <c r="A206" s="31" t="str">
        <f aca="false">IF(B206="","",ROW()-5)</f>
        <v/>
      </c>
      <c r="B206" s="32"/>
      <c r="C206" s="32"/>
      <c r="D206" s="32"/>
      <c r="E206" s="32"/>
      <c r="F206" s="32"/>
      <c r="G206" s="32"/>
      <c r="H206" s="33"/>
      <c r="I206" s="33"/>
      <c r="J206" s="32"/>
      <c r="K206" s="33"/>
      <c r="L206" s="32"/>
      <c r="M206" s="34"/>
      <c r="N206" s="34"/>
      <c r="O206" s="35" t="str">
        <f aca="false">IF(OR(M206="",N206="",M206=0),"",N206/M206)</f>
        <v/>
      </c>
      <c r="P206" s="36"/>
      <c r="Q206" s="37"/>
      <c r="R206" s="38" t="str">
        <f aca="false">IF(Q206&lt;&gt;"",Q206,IF(AND(P206&lt;&gt;"",M206&lt;&gt;""),P206*12*M206,""))</f>
        <v/>
      </c>
      <c r="S206" s="32"/>
      <c r="T206" s="32"/>
      <c r="U206" s="39"/>
      <c r="V206" s="39"/>
      <c r="W206" s="34"/>
      <c r="X206" s="32"/>
      <c r="Y206" s="34"/>
      <c r="Z206" s="40" t="str">
        <f aca="false">IF(OR(V206="",Y206=""),"",V206-Y206)</f>
        <v/>
      </c>
      <c r="AA206" s="41" t="str">
        <f aca="true">IF(V206="","",V206-TODAY())</f>
        <v/>
      </c>
      <c r="AB206" s="42" t="str">
        <f aca="false">IF(V206="","",IF(AA206&lt;0,"Past due",IF(AA206&lt;=90,"0–90 days",IF(AA206&lt;=180,"91–180 days",IF(AA206&lt;=365,"181–365 days","Over a year")))))</f>
        <v/>
      </c>
      <c r="AC206" s="43"/>
      <c r="AD206" s="32"/>
      <c r="AE206" s="32"/>
      <c r="AF206" s="33"/>
      <c r="AG206" s="32"/>
      <c r="AH206" s="33"/>
      <c r="AI206" s="32"/>
      <c r="AJ206" s="33"/>
      <c r="AK206" s="32"/>
      <c r="AL206" s="32"/>
      <c r="AM206" s="33"/>
      <c r="AN206" s="31" t="str">
        <f aca="false">IF(B206="","",IFERROR(INDEX(Lookup!$B$2:$B$3000,MATCH(TRIM(B206),Lookup!$A$2:$A$3000,0)),""))</f>
        <v/>
      </c>
      <c r="AO206" s="42" t="str">
        <f aca="false">IF(B206="","",IF(AN206="","No – will be reviewed","Yes"))</f>
        <v/>
      </c>
      <c r="AP206" s="31" t="str">
        <f aca="false">IF(AN206="","",IFERROR(INDEX(Catalog!$B$5:$B$400,MATCH(AN206,Catalog!$A$5:$A$400,0)),""))</f>
        <v/>
      </c>
      <c r="AQ206" s="31" t="str">
        <f aca="false">IF(AN206="","",IFERROR(INDEX(Catalog!$C$5:$C$400,MATCH(AN206,Catalog!$A$5:$A$400,0)),""))</f>
        <v/>
      </c>
      <c r="AR206" s="31" t="str">
        <f aca="false">IF(AN206="","",IFERROR(INDEX(Catalog!$D$5:$D$400,MATCH(AN206,Catalog!$A$5:$A$400,0)),""))</f>
        <v/>
      </c>
      <c r="AS206" s="31" t="str">
        <f aca="false">IF(AN206="","",IFERROR(INDEX(Catalog!$E$5:$E$400,MATCH(AN206,Catalog!$A$5:$A$400,0)),""))</f>
        <v/>
      </c>
      <c r="AT206" s="44" t="str">
        <f aca="false">IF(AN206="","",IFERROR(INDEX(Catalog!$F$5:$F$400,MATCH(AN206,Catalog!$A$5:$A$400,0)),""))</f>
        <v/>
      </c>
      <c r="AU206" s="31" t="str">
        <f aca="false">IF(AND(B206&lt;&gt;"",ISNUMBER(V206)),V206+ROW()/100000,"")</f>
        <v/>
      </c>
    </row>
    <row r="207" customFormat="false" ht="15" hidden="false" customHeight="false" outlineLevel="0" collapsed="false">
      <c r="A207" s="31" t="str">
        <f aca="false">IF(B207="","",ROW()-5)</f>
        <v/>
      </c>
      <c r="B207" s="32"/>
      <c r="C207" s="32"/>
      <c r="D207" s="32"/>
      <c r="E207" s="32"/>
      <c r="F207" s="32"/>
      <c r="G207" s="32"/>
      <c r="H207" s="33"/>
      <c r="I207" s="33"/>
      <c r="J207" s="32"/>
      <c r="K207" s="33"/>
      <c r="L207" s="32"/>
      <c r="M207" s="34"/>
      <c r="N207" s="34"/>
      <c r="O207" s="35" t="str">
        <f aca="false">IF(OR(M207="",N207="",M207=0),"",N207/M207)</f>
        <v/>
      </c>
      <c r="P207" s="36"/>
      <c r="Q207" s="37"/>
      <c r="R207" s="38" t="str">
        <f aca="false">IF(Q207&lt;&gt;"",Q207,IF(AND(P207&lt;&gt;"",M207&lt;&gt;""),P207*12*M207,""))</f>
        <v/>
      </c>
      <c r="S207" s="32"/>
      <c r="T207" s="32"/>
      <c r="U207" s="39"/>
      <c r="V207" s="39"/>
      <c r="W207" s="34"/>
      <c r="X207" s="32"/>
      <c r="Y207" s="34"/>
      <c r="Z207" s="40" t="str">
        <f aca="false">IF(OR(V207="",Y207=""),"",V207-Y207)</f>
        <v/>
      </c>
      <c r="AA207" s="41" t="str">
        <f aca="true">IF(V207="","",V207-TODAY())</f>
        <v/>
      </c>
      <c r="AB207" s="42" t="str">
        <f aca="false">IF(V207="","",IF(AA207&lt;0,"Past due",IF(AA207&lt;=90,"0–90 days",IF(AA207&lt;=180,"91–180 days",IF(AA207&lt;=365,"181–365 days","Over a year")))))</f>
        <v/>
      </c>
      <c r="AC207" s="43"/>
      <c r="AD207" s="32"/>
      <c r="AE207" s="32"/>
      <c r="AF207" s="33"/>
      <c r="AG207" s="32"/>
      <c r="AH207" s="33"/>
      <c r="AI207" s="32"/>
      <c r="AJ207" s="33"/>
      <c r="AK207" s="32"/>
      <c r="AL207" s="32"/>
      <c r="AM207" s="33"/>
      <c r="AN207" s="31" t="str">
        <f aca="false">IF(B207="","",IFERROR(INDEX(Lookup!$B$2:$B$3000,MATCH(TRIM(B207),Lookup!$A$2:$A$3000,0)),""))</f>
        <v/>
      </c>
      <c r="AO207" s="42" t="str">
        <f aca="false">IF(B207="","",IF(AN207="","No – will be reviewed","Yes"))</f>
        <v/>
      </c>
      <c r="AP207" s="31" t="str">
        <f aca="false">IF(AN207="","",IFERROR(INDEX(Catalog!$B$5:$B$400,MATCH(AN207,Catalog!$A$5:$A$400,0)),""))</f>
        <v/>
      </c>
      <c r="AQ207" s="31" t="str">
        <f aca="false">IF(AN207="","",IFERROR(INDEX(Catalog!$C$5:$C$400,MATCH(AN207,Catalog!$A$5:$A$400,0)),""))</f>
        <v/>
      </c>
      <c r="AR207" s="31" t="str">
        <f aca="false">IF(AN207="","",IFERROR(INDEX(Catalog!$D$5:$D$400,MATCH(AN207,Catalog!$A$5:$A$400,0)),""))</f>
        <v/>
      </c>
      <c r="AS207" s="31" t="str">
        <f aca="false">IF(AN207="","",IFERROR(INDEX(Catalog!$E$5:$E$400,MATCH(AN207,Catalog!$A$5:$A$400,0)),""))</f>
        <v/>
      </c>
      <c r="AT207" s="44" t="str">
        <f aca="false">IF(AN207="","",IFERROR(INDEX(Catalog!$F$5:$F$400,MATCH(AN207,Catalog!$A$5:$A$400,0)),""))</f>
        <v/>
      </c>
      <c r="AU207" s="31" t="str">
        <f aca="false">IF(AND(B207&lt;&gt;"",ISNUMBER(V207)),V207+ROW()/100000,"")</f>
        <v/>
      </c>
    </row>
    <row r="208" customFormat="false" ht="15" hidden="false" customHeight="false" outlineLevel="0" collapsed="false">
      <c r="A208" s="31" t="str">
        <f aca="false">IF(B208="","",ROW()-5)</f>
        <v/>
      </c>
      <c r="B208" s="32"/>
      <c r="C208" s="32"/>
      <c r="D208" s="32"/>
      <c r="E208" s="32"/>
      <c r="F208" s="32"/>
      <c r="G208" s="32"/>
      <c r="H208" s="33"/>
      <c r="I208" s="33"/>
      <c r="J208" s="32"/>
      <c r="K208" s="33"/>
      <c r="L208" s="32"/>
      <c r="M208" s="34"/>
      <c r="N208" s="34"/>
      <c r="O208" s="35" t="str">
        <f aca="false">IF(OR(M208="",N208="",M208=0),"",N208/M208)</f>
        <v/>
      </c>
      <c r="P208" s="36"/>
      <c r="Q208" s="37"/>
      <c r="R208" s="38" t="str">
        <f aca="false">IF(Q208&lt;&gt;"",Q208,IF(AND(P208&lt;&gt;"",M208&lt;&gt;""),P208*12*M208,""))</f>
        <v/>
      </c>
      <c r="S208" s="32"/>
      <c r="T208" s="32"/>
      <c r="U208" s="39"/>
      <c r="V208" s="39"/>
      <c r="W208" s="34"/>
      <c r="X208" s="32"/>
      <c r="Y208" s="34"/>
      <c r="Z208" s="40" t="str">
        <f aca="false">IF(OR(V208="",Y208=""),"",V208-Y208)</f>
        <v/>
      </c>
      <c r="AA208" s="41" t="str">
        <f aca="true">IF(V208="","",V208-TODAY())</f>
        <v/>
      </c>
      <c r="AB208" s="42" t="str">
        <f aca="false">IF(V208="","",IF(AA208&lt;0,"Past due",IF(AA208&lt;=90,"0–90 days",IF(AA208&lt;=180,"91–180 days",IF(AA208&lt;=365,"181–365 days","Over a year")))))</f>
        <v/>
      </c>
      <c r="AC208" s="43"/>
      <c r="AD208" s="32"/>
      <c r="AE208" s="32"/>
      <c r="AF208" s="33"/>
      <c r="AG208" s="32"/>
      <c r="AH208" s="33"/>
      <c r="AI208" s="32"/>
      <c r="AJ208" s="33"/>
      <c r="AK208" s="32"/>
      <c r="AL208" s="32"/>
      <c r="AM208" s="33"/>
      <c r="AN208" s="31" t="str">
        <f aca="false">IF(B208="","",IFERROR(INDEX(Lookup!$B$2:$B$3000,MATCH(TRIM(B208),Lookup!$A$2:$A$3000,0)),""))</f>
        <v/>
      </c>
      <c r="AO208" s="42" t="str">
        <f aca="false">IF(B208="","",IF(AN208="","No – will be reviewed","Yes"))</f>
        <v/>
      </c>
      <c r="AP208" s="31" t="str">
        <f aca="false">IF(AN208="","",IFERROR(INDEX(Catalog!$B$5:$B$400,MATCH(AN208,Catalog!$A$5:$A$400,0)),""))</f>
        <v/>
      </c>
      <c r="AQ208" s="31" t="str">
        <f aca="false">IF(AN208="","",IFERROR(INDEX(Catalog!$C$5:$C$400,MATCH(AN208,Catalog!$A$5:$A$400,0)),""))</f>
        <v/>
      </c>
      <c r="AR208" s="31" t="str">
        <f aca="false">IF(AN208="","",IFERROR(INDEX(Catalog!$D$5:$D$400,MATCH(AN208,Catalog!$A$5:$A$400,0)),""))</f>
        <v/>
      </c>
      <c r="AS208" s="31" t="str">
        <f aca="false">IF(AN208="","",IFERROR(INDEX(Catalog!$E$5:$E$400,MATCH(AN208,Catalog!$A$5:$A$400,0)),""))</f>
        <v/>
      </c>
      <c r="AT208" s="44" t="str">
        <f aca="false">IF(AN208="","",IFERROR(INDEX(Catalog!$F$5:$F$400,MATCH(AN208,Catalog!$A$5:$A$400,0)),""))</f>
        <v/>
      </c>
      <c r="AU208" s="31" t="str">
        <f aca="false">IF(AND(B208&lt;&gt;"",ISNUMBER(V208)),V208+ROW()/100000,"")</f>
        <v/>
      </c>
    </row>
    <row r="209" customFormat="false" ht="15" hidden="false" customHeight="false" outlineLevel="0" collapsed="false">
      <c r="A209" s="31" t="str">
        <f aca="false">IF(B209="","",ROW()-5)</f>
        <v/>
      </c>
      <c r="B209" s="32"/>
      <c r="C209" s="32"/>
      <c r="D209" s="32"/>
      <c r="E209" s="32"/>
      <c r="F209" s="32"/>
      <c r="G209" s="32"/>
      <c r="H209" s="33"/>
      <c r="I209" s="33"/>
      <c r="J209" s="32"/>
      <c r="K209" s="33"/>
      <c r="L209" s="32"/>
      <c r="M209" s="34"/>
      <c r="N209" s="34"/>
      <c r="O209" s="35" t="str">
        <f aca="false">IF(OR(M209="",N209="",M209=0),"",N209/M209)</f>
        <v/>
      </c>
      <c r="P209" s="36"/>
      <c r="Q209" s="37"/>
      <c r="R209" s="38" t="str">
        <f aca="false">IF(Q209&lt;&gt;"",Q209,IF(AND(P209&lt;&gt;"",M209&lt;&gt;""),P209*12*M209,""))</f>
        <v/>
      </c>
      <c r="S209" s="32"/>
      <c r="T209" s="32"/>
      <c r="U209" s="39"/>
      <c r="V209" s="39"/>
      <c r="W209" s="34"/>
      <c r="X209" s="32"/>
      <c r="Y209" s="34"/>
      <c r="Z209" s="40" t="str">
        <f aca="false">IF(OR(V209="",Y209=""),"",V209-Y209)</f>
        <v/>
      </c>
      <c r="AA209" s="41" t="str">
        <f aca="true">IF(V209="","",V209-TODAY())</f>
        <v/>
      </c>
      <c r="AB209" s="42" t="str">
        <f aca="false">IF(V209="","",IF(AA209&lt;0,"Past due",IF(AA209&lt;=90,"0–90 days",IF(AA209&lt;=180,"91–180 days",IF(AA209&lt;=365,"181–365 days","Over a year")))))</f>
        <v/>
      </c>
      <c r="AC209" s="43"/>
      <c r="AD209" s="32"/>
      <c r="AE209" s="32"/>
      <c r="AF209" s="33"/>
      <c r="AG209" s="32"/>
      <c r="AH209" s="33"/>
      <c r="AI209" s="32"/>
      <c r="AJ209" s="33"/>
      <c r="AK209" s="32"/>
      <c r="AL209" s="32"/>
      <c r="AM209" s="33"/>
      <c r="AN209" s="31" t="str">
        <f aca="false">IF(B209="","",IFERROR(INDEX(Lookup!$B$2:$B$3000,MATCH(TRIM(B209),Lookup!$A$2:$A$3000,0)),""))</f>
        <v/>
      </c>
      <c r="AO209" s="42" t="str">
        <f aca="false">IF(B209="","",IF(AN209="","No – will be reviewed","Yes"))</f>
        <v/>
      </c>
      <c r="AP209" s="31" t="str">
        <f aca="false">IF(AN209="","",IFERROR(INDEX(Catalog!$B$5:$B$400,MATCH(AN209,Catalog!$A$5:$A$400,0)),""))</f>
        <v/>
      </c>
      <c r="AQ209" s="31" t="str">
        <f aca="false">IF(AN209="","",IFERROR(INDEX(Catalog!$C$5:$C$400,MATCH(AN209,Catalog!$A$5:$A$400,0)),""))</f>
        <v/>
      </c>
      <c r="AR209" s="31" t="str">
        <f aca="false">IF(AN209="","",IFERROR(INDEX(Catalog!$D$5:$D$400,MATCH(AN209,Catalog!$A$5:$A$400,0)),""))</f>
        <v/>
      </c>
      <c r="AS209" s="31" t="str">
        <f aca="false">IF(AN209="","",IFERROR(INDEX(Catalog!$E$5:$E$400,MATCH(AN209,Catalog!$A$5:$A$400,0)),""))</f>
        <v/>
      </c>
      <c r="AT209" s="44" t="str">
        <f aca="false">IF(AN209="","",IFERROR(INDEX(Catalog!$F$5:$F$400,MATCH(AN209,Catalog!$A$5:$A$400,0)),""))</f>
        <v/>
      </c>
      <c r="AU209" s="31" t="str">
        <f aca="false">IF(AND(B209&lt;&gt;"",ISNUMBER(V209)),V209+ROW()/100000,"")</f>
        <v/>
      </c>
    </row>
    <row r="210" customFormat="false" ht="15" hidden="false" customHeight="false" outlineLevel="0" collapsed="false">
      <c r="A210" s="31" t="str">
        <f aca="false">IF(B210="","",ROW()-5)</f>
        <v/>
      </c>
      <c r="B210" s="32"/>
      <c r="C210" s="32"/>
      <c r="D210" s="32"/>
      <c r="E210" s="32"/>
      <c r="F210" s="32"/>
      <c r="G210" s="32"/>
      <c r="H210" s="33"/>
      <c r="I210" s="33"/>
      <c r="J210" s="32"/>
      <c r="K210" s="33"/>
      <c r="L210" s="32"/>
      <c r="M210" s="34"/>
      <c r="N210" s="34"/>
      <c r="O210" s="35" t="str">
        <f aca="false">IF(OR(M210="",N210="",M210=0),"",N210/M210)</f>
        <v/>
      </c>
      <c r="P210" s="36"/>
      <c r="Q210" s="37"/>
      <c r="R210" s="38" t="str">
        <f aca="false">IF(Q210&lt;&gt;"",Q210,IF(AND(P210&lt;&gt;"",M210&lt;&gt;""),P210*12*M210,""))</f>
        <v/>
      </c>
      <c r="S210" s="32"/>
      <c r="T210" s="32"/>
      <c r="U210" s="39"/>
      <c r="V210" s="39"/>
      <c r="W210" s="34"/>
      <c r="X210" s="32"/>
      <c r="Y210" s="34"/>
      <c r="Z210" s="40" t="str">
        <f aca="false">IF(OR(V210="",Y210=""),"",V210-Y210)</f>
        <v/>
      </c>
      <c r="AA210" s="41" t="str">
        <f aca="true">IF(V210="","",V210-TODAY())</f>
        <v/>
      </c>
      <c r="AB210" s="42" t="str">
        <f aca="false">IF(V210="","",IF(AA210&lt;0,"Past due",IF(AA210&lt;=90,"0–90 days",IF(AA210&lt;=180,"91–180 days",IF(AA210&lt;=365,"181–365 days","Over a year")))))</f>
        <v/>
      </c>
      <c r="AC210" s="43"/>
      <c r="AD210" s="32"/>
      <c r="AE210" s="32"/>
      <c r="AF210" s="33"/>
      <c r="AG210" s="32"/>
      <c r="AH210" s="33"/>
      <c r="AI210" s="32"/>
      <c r="AJ210" s="33"/>
      <c r="AK210" s="32"/>
      <c r="AL210" s="32"/>
      <c r="AM210" s="33"/>
      <c r="AN210" s="31" t="str">
        <f aca="false">IF(B210="","",IFERROR(INDEX(Lookup!$B$2:$B$3000,MATCH(TRIM(B210),Lookup!$A$2:$A$3000,0)),""))</f>
        <v/>
      </c>
      <c r="AO210" s="42" t="str">
        <f aca="false">IF(B210="","",IF(AN210="","No – will be reviewed","Yes"))</f>
        <v/>
      </c>
      <c r="AP210" s="31" t="str">
        <f aca="false">IF(AN210="","",IFERROR(INDEX(Catalog!$B$5:$B$400,MATCH(AN210,Catalog!$A$5:$A$400,0)),""))</f>
        <v/>
      </c>
      <c r="AQ210" s="31" t="str">
        <f aca="false">IF(AN210="","",IFERROR(INDEX(Catalog!$C$5:$C$400,MATCH(AN210,Catalog!$A$5:$A$400,0)),""))</f>
        <v/>
      </c>
      <c r="AR210" s="31" t="str">
        <f aca="false">IF(AN210="","",IFERROR(INDEX(Catalog!$D$5:$D$400,MATCH(AN210,Catalog!$A$5:$A$400,0)),""))</f>
        <v/>
      </c>
      <c r="AS210" s="31" t="str">
        <f aca="false">IF(AN210="","",IFERROR(INDEX(Catalog!$E$5:$E$400,MATCH(AN210,Catalog!$A$5:$A$400,0)),""))</f>
        <v/>
      </c>
      <c r="AT210" s="44" t="str">
        <f aca="false">IF(AN210="","",IFERROR(INDEX(Catalog!$F$5:$F$400,MATCH(AN210,Catalog!$A$5:$A$400,0)),""))</f>
        <v/>
      </c>
      <c r="AU210" s="31" t="str">
        <f aca="false">IF(AND(B210&lt;&gt;"",ISNUMBER(V210)),V210+ROW()/100000,"")</f>
        <v/>
      </c>
    </row>
    <row r="211" customFormat="false" ht="15" hidden="false" customHeight="false" outlineLevel="0" collapsed="false">
      <c r="A211" s="31" t="str">
        <f aca="false">IF(B211="","",ROW()-5)</f>
        <v/>
      </c>
      <c r="B211" s="32"/>
      <c r="C211" s="32"/>
      <c r="D211" s="32"/>
      <c r="E211" s="32"/>
      <c r="F211" s="32"/>
      <c r="G211" s="32"/>
      <c r="H211" s="33"/>
      <c r="I211" s="33"/>
      <c r="J211" s="32"/>
      <c r="K211" s="33"/>
      <c r="L211" s="32"/>
      <c r="M211" s="34"/>
      <c r="N211" s="34"/>
      <c r="O211" s="35" t="str">
        <f aca="false">IF(OR(M211="",N211="",M211=0),"",N211/M211)</f>
        <v/>
      </c>
      <c r="P211" s="36"/>
      <c r="Q211" s="37"/>
      <c r="R211" s="38" t="str">
        <f aca="false">IF(Q211&lt;&gt;"",Q211,IF(AND(P211&lt;&gt;"",M211&lt;&gt;""),P211*12*M211,""))</f>
        <v/>
      </c>
      <c r="S211" s="32"/>
      <c r="T211" s="32"/>
      <c r="U211" s="39"/>
      <c r="V211" s="39"/>
      <c r="W211" s="34"/>
      <c r="X211" s="32"/>
      <c r="Y211" s="34"/>
      <c r="Z211" s="40" t="str">
        <f aca="false">IF(OR(V211="",Y211=""),"",V211-Y211)</f>
        <v/>
      </c>
      <c r="AA211" s="41" t="str">
        <f aca="true">IF(V211="","",V211-TODAY())</f>
        <v/>
      </c>
      <c r="AB211" s="42" t="str">
        <f aca="false">IF(V211="","",IF(AA211&lt;0,"Past due",IF(AA211&lt;=90,"0–90 days",IF(AA211&lt;=180,"91–180 days",IF(AA211&lt;=365,"181–365 days","Over a year")))))</f>
        <v/>
      </c>
      <c r="AC211" s="43"/>
      <c r="AD211" s="32"/>
      <c r="AE211" s="32"/>
      <c r="AF211" s="33"/>
      <c r="AG211" s="32"/>
      <c r="AH211" s="33"/>
      <c r="AI211" s="32"/>
      <c r="AJ211" s="33"/>
      <c r="AK211" s="32"/>
      <c r="AL211" s="32"/>
      <c r="AM211" s="33"/>
      <c r="AN211" s="31" t="str">
        <f aca="false">IF(B211="","",IFERROR(INDEX(Lookup!$B$2:$B$3000,MATCH(TRIM(B211),Lookup!$A$2:$A$3000,0)),""))</f>
        <v/>
      </c>
      <c r="AO211" s="42" t="str">
        <f aca="false">IF(B211="","",IF(AN211="","No – will be reviewed","Yes"))</f>
        <v/>
      </c>
      <c r="AP211" s="31" t="str">
        <f aca="false">IF(AN211="","",IFERROR(INDEX(Catalog!$B$5:$B$400,MATCH(AN211,Catalog!$A$5:$A$400,0)),""))</f>
        <v/>
      </c>
      <c r="AQ211" s="31" t="str">
        <f aca="false">IF(AN211="","",IFERROR(INDEX(Catalog!$C$5:$C$400,MATCH(AN211,Catalog!$A$5:$A$400,0)),""))</f>
        <v/>
      </c>
      <c r="AR211" s="31" t="str">
        <f aca="false">IF(AN211="","",IFERROR(INDEX(Catalog!$D$5:$D$400,MATCH(AN211,Catalog!$A$5:$A$400,0)),""))</f>
        <v/>
      </c>
      <c r="AS211" s="31" t="str">
        <f aca="false">IF(AN211="","",IFERROR(INDEX(Catalog!$E$5:$E$400,MATCH(AN211,Catalog!$A$5:$A$400,0)),""))</f>
        <v/>
      </c>
      <c r="AT211" s="44" t="str">
        <f aca="false">IF(AN211="","",IFERROR(INDEX(Catalog!$F$5:$F$400,MATCH(AN211,Catalog!$A$5:$A$400,0)),""))</f>
        <v/>
      </c>
      <c r="AU211" s="31" t="str">
        <f aca="false">IF(AND(B211&lt;&gt;"",ISNUMBER(V211)),V211+ROW()/100000,"")</f>
        <v/>
      </c>
    </row>
    <row r="212" customFormat="false" ht="15" hidden="false" customHeight="false" outlineLevel="0" collapsed="false">
      <c r="A212" s="31" t="str">
        <f aca="false">IF(B212="","",ROW()-5)</f>
        <v/>
      </c>
      <c r="B212" s="32"/>
      <c r="C212" s="32"/>
      <c r="D212" s="32"/>
      <c r="E212" s="32"/>
      <c r="F212" s="32"/>
      <c r="G212" s="32"/>
      <c r="H212" s="33"/>
      <c r="I212" s="33"/>
      <c r="J212" s="32"/>
      <c r="K212" s="33"/>
      <c r="L212" s="32"/>
      <c r="M212" s="34"/>
      <c r="N212" s="34"/>
      <c r="O212" s="35" t="str">
        <f aca="false">IF(OR(M212="",N212="",M212=0),"",N212/M212)</f>
        <v/>
      </c>
      <c r="P212" s="36"/>
      <c r="Q212" s="37"/>
      <c r="R212" s="38" t="str">
        <f aca="false">IF(Q212&lt;&gt;"",Q212,IF(AND(P212&lt;&gt;"",M212&lt;&gt;""),P212*12*M212,""))</f>
        <v/>
      </c>
      <c r="S212" s="32"/>
      <c r="T212" s="32"/>
      <c r="U212" s="39"/>
      <c r="V212" s="39"/>
      <c r="W212" s="34"/>
      <c r="X212" s="32"/>
      <c r="Y212" s="34"/>
      <c r="Z212" s="40" t="str">
        <f aca="false">IF(OR(V212="",Y212=""),"",V212-Y212)</f>
        <v/>
      </c>
      <c r="AA212" s="41" t="str">
        <f aca="true">IF(V212="","",V212-TODAY())</f>
        <v/>
      </c>
      <c r="AB212" s="42" t="str">
        <f aca="false">IF(V212="","",IF(AA212&lt;0,"Past due",IF(AA212&lt;=90,"0–90 days",IF(AA212&lt;=180,"91–180 days",IF(AA212&lt;=365,"181–365 days","Over a year")))))</f>
        <v/>
      </c>
      <c r="AC212" s="43"/>
      <c r="AD212" s="32"/>
      <c r="AE212" s="32"/>
      <c r="AF212" s="33"/>
      <c r="AG212" s="32"/>
      <c r="AH212" s="33"/>
      <c r="AI212" s="32"/>
      <c r="AJ212" s="33"/>
      <c r="AK212" s="32"/>
      <c r="AL212" s="32"/>
      <c r="AM212" s="33"/>
      <c r="AN212" s="31" t="str">
        <f aca="false">IF(B212="","",IFERROR(INDEX(Lookup!$B$2:$B$3000,MATCH(TRIM(B212),Lookup!$A$2:$A$3000,0)),""))</f>
        <v/>
      </c>
      <c r="AO212" s="42" t="str">
        <f aca="false">IF(B212="","",IF(AN212="","No – will be reviewed","Yes"))</f>
        <v/>
      </c>
      <c r="AP212" s="31" t="str">
        <f aca="false">IF(AN212="","",IFERROR(INDEX(Catalog!$B$5:$B$400,MATCH(AN212,Catalog!$A$5:$A$400,0)),""))</f>
        <v/>
      </c>
      <c r="AQ212" s="31" t="str">
        <f aca="false">IF(AN212="","",IFERROR(INDEX(Catalog!$C$5:$C$400,MATCH(AN212,Catalog!$A$5:$A$400,0)),""))</f>
        <v/>
      </c>
      <c r="AR212" s="31" t="str">
        <f aca="false">IF(AN212="","",IFERROR(INDEX(Catalog!$D$5:$D$400,MATCH(AN212,Catalog!$A$5:$A$400,0)),""))</f>
        <v/>
      </c>
      <c r="AS212" s="31" t="str">
        <f aca="false">IF(AN212="","",IFERROR(INDEX(Catalog!$E$5:$E$400,MATCH(AN212,Catalog!$A$5:$A$400,0)),""))</f>
        <v/>
      </c>
      <c r="AT212" s="44" t="str">
        <f aca="false">IF(AN212="","",IFERROR(INDEX(Catalog!$F$5:$F$400,MATCH(AN212,Catalog!$A$5:$A$400,0)),""))</f>
        <v/>
      </c>
      <c r="AU212" s="31" t="str">
        <f aca="false">IF(AND(B212&lt;&gt;"",ISNUMBER(V212)),V212+ROW()/100000,"")</f>
        <v/>
      </c>
    </row>
    <row r="213" customFormat="false" ht="15" hidden="false" customHeight="false" outlineLevel="0" collapsed="false">
      <c r="A213" s="31" t="str">
        <f aca="false">IF(B213="","",ROW()-5)</f>
        <v/>
      </c>
      <c r="B213" s="32"/>
      <c r="C213" s="32"/>
      <c r="D213" s="32"/>
      <c r="E213" s="32"/>
      <c r="F213" s="32"/>
      <c r="G213" s="32"/>
      <c r="H213" s="33"/>
      <c r="I213" s="33"/>
      <c r="J213" s="32"/>
      <c r="K213" s="33"/>
      <c r="L213" s="32"/>
      <c r="M213" s="34"/>
      <c r="N213" s="34"/>
      <c r="O213" s="35" t="str">
        <f aca="false">IF(OR(M213="",N213="",M213=0),"",N213/M213)</f>
        <v/>
      </c>
      <c r="P213" s="36"/>
      <c r="Q213" s="37"/>
      <c r="R213" s="38" t="str">
        <f aca="false">IF(Q213&lt;&gt;"",Q213,IF(AND(P213&lt;&gt;"",M213&lt;&gt;""),P213*12*M213,""))</f>
        <v/>
      </c>
      <c r="S213" s="32"/>
      <c r="T213" s="32"/>
      <c r="U213" s="39"/>
      <c r="V213" s="39"/>
      <c r="W213" s="34"/>
      <c r="X213" s="32"/>
      <c r="Y213" s="34"/>
      <c r="Z213" s="40" t="str">
        <f aca="false">IF(OR(V213="",Y213=""),"",V213-Y213)</f>
        <v/>
      </c>
      <c r="AA213" s="41" t="str">
        <f aca="true">IF(V213="","",V213-TODAY())</f>
        <v/>
      </c>
      <c r="AB213" s="42" t="str">
        <f aca="false">IF(V213="","",IF(AA213&lt;0,"Past due",IF(AA213&lt;=90,"0–90 days",IF(AA213&lt;=180,"91–180 days",IF(AA213&lt;=365,"181–365 days","Over a year")))))</f>
        <v/>
      </c>
      <c r="AC213" s="43"/>
      <c r="AD213" s="32"/>
      <c r="AE213" s="32"/>
      <c r="AF213" s="33"/>
      <c r="AG213" s="32"/>
      <c r="AH213" s="33"/>
      <c r="AI213" s="32"/>
      <c r="AJ213" s="33"/>
      <c r="AK213" s="32"/>
      <c r="AL213" s="32"/>
      <c r="AM213" s="33"/>
      <c r="AN213" s="31" t="str">
        <f aca="false">IF(B213="","",IFERROR(INDEX(Lookup!$B$2:$B$3000,MATCH(TRIM(B213),Lookup!$A$2:$A$3000,0)),""))</f>
        <v/>
      </c>
      <c r="AO213" s="42" t="str">
        <f aca="false">IF(B213="","",IF(AN213="","No – will be reviewed","Yes"))</f>
        <v/>
      </c>
      <c r="AP213" s="31" t="str">
        <f aca="false">IF(AN213="","",IFERROR(INDEX(Catalog!$B$5:$B$400,MATCH(AN213,Catalog!$A$5:$A$400,0)),""))</f>
        <v/>
      </c>
      <c r="AQ213" s="31" t="str">
        <f aca="false">IF(AN213="","",IFERROR(INDEX(Catalog!$C$5:$C$400,MATCH(AN213,Catalog!$A$5:$A$400,0)),""))</f>
        <v/>
      </c>
      <c r="AR213" s="31" t="str">
        <f aca="false">IF(AN213="","",IFERROR(INDEX(Catalog!$D$5:$D$400,MATCH(AN213,Catalog!$A$5:$A$400,0)),""))</f>
        <v/>
      </c>
      <c r="AS213" s="31" t="str">
        <f aca="false">IF(AN213="","",IFERROR(INDEX(Catalog!$E$5:$E$400,MATCH(AN213,Catalog!$A$5:$A$400,0)),""))</f>
        <v/>
      </c>
      <c r="AT213" s="44" t="str">
        <f aca="false">IF(AN213="","",IFERROR(INDEX(Catalog!$F$5:$F$400,MATCH(AN213,Catalog!$A$5:$A$400,0)),""))</f>
        <v/>
      </c>
      <c r="AU213" s="31" t="str">
        <f aca="false">IF(AND(B213&lt;&gt;"",ISNUMBER(V213)),V213+ROW()/100000,"")</f>
        <v/>
      </c>
    </row>
    <row r="214" customFormat="false" ht="15" hidden="false" customHeight="false" outlineLevel="0" collapsed="false">
      <c r="A214" s="31" t="str">
        <f aca="false">IF(B214="","",ROW()-5)</f>
        <v/>
      </c>
      <c r="B214" s="32"/>
      <c r="C214" s="32"/>
      <c r="D214" s="32"/>
      <c r="E214" s="32"/>
      <c r="F214" s="32"/>
      <c r="G214" s="32"/>
      <c r="H214" s="33"/>
      <c r="I214" s="33"/>
      <c r="J214" s="32"/>
      <c r="K214" s="33"/>
      <c r="L214" s="32"/>
      <c r="M214" s="34"/>
      <c r="N214" s="34"/>
      <c r="O214" s="35" t="str">
        <f aca="false">IF(OR(M214="",N214="",M214=0),"",N214/M214)</f>
        <v/>
      </c>
      <c r="P214" s="36"/>
      <c r="Q214" s="37"/>
      <c r="R214" s="38" t="str">
        <f aca="false">IF(Q214&lt;&gt;"",Q214,IF(AND(P214&lt;&gt;"",M214&lt;&gt;""),P214*12*M214,""))</f>
        <v/>
      </c>
      <c r="S214" s="32"/>
      <c r="T214" s="32"/>
      <c r="U214" s="39"/>
      <c r="V214" s="39"/>
      <c r="W214" s="34"/>
      <c r="X214" s="32"/>
      <c r="Y214" s="34"/>
      <c r="Z214" s="40" t="str">
        <f aca="false">IF(OR(V214="",Y214=""),"",V214-Y214)</f>
        <v/>
      </c>
      <c r="AA214" s="41" t="str">
        <f aca="true">IF(V214="","",V214-TODAY())</f>
        <v/>
      </c>
      <c r="AB214" s="42" t="str">
        <f aca="false">IF(V214="","",IF(AA214&lt;0,"Past due",IF(AA214&lt;=90,"0–90 days",IF(AA214&lt;=180,"91–180 days",IF(AA214&lt;=365,"181–365 days","Over a year")))))</f>
        <v/>
      </c>
      <c r="AC214" s="43"/>
      <c r="AD214" s="32"/>
      <c r="AE214" s="32"/>
      <c r="AF214" s="33"/>
      <c r="AG214" s="32"/>
      <c r="AH214" s="33"/>
      <c r="AI214" s="32"/>
      <c r="AJ214" s="33"/>
      <c r="AK214" s="32"/>
      <c r="AL214" s="32"/>
      <c r="AM214" s="33"/>
      <c r="AN214" s="31" t="str">
        <f aca="false">IF(B214="","",IFERROR(INDEX(Lookup!$B$2:$B$3000,MATCH(TRIM(B214),Lookup!$A$2:$A$3000,0)),""))</f>
        <v/>
      </c>
      <c r="AO214" s="42" t="str">
        <f aca="false">IF(B214="","",IF(AN214="","No – will be reviewed","Yes"))</f>
        <v/>
      </c>
      <c r="AP214" s="31" t="str">
        <f aca="false">IF(AN214="","",IFERROR(INDEX(Catalog!$B$5:$B$400,MATCH(AN214,Catalog!$A$5:$A$400,0)),""))</f>
        <v/>
      </c>
      <c r="AQ214" s="31" t="str">
        <f aca="false">IF(AN214="","",IFERROR(INDEX(Catalog!$C$5:$C$400,MATCH(AN214,Catalog!$A$5:$A$400,0)),""))</f>
        <v/>
      </c>
      <c r="AR214" s="31" t="str">
        <f aca="false">IF(AN214="","",IFERROR(INDEX(Catalog!$D$5:$D$400,MATCH(AN214,Catalog!$A$5:$A$400,0)),""))</f>
        <v/>
      </c>
      <c r="AS214" s="31" t="str">
        <f aca="false">IF(AN214="","",IFERROR(INDEX(Catalog!$E$5:$E$400,MATCH(AN214,Catalog!$A$5:$A$400,0)),""))</f>
        <v/>
      </c>
      <c r="AT214" s="44" t="str">
        <f aca="false">IF(AN214="","",IFERROR(INDEX(Catalog!$F$5:$F$400,MATCH(AN214,Catalog!$A$5:$A$400,0)),""))</f>
        <v/>
      </c>
      <c r="AU214" s="31" t="str">
        <f aca="false">IF(AND(B214&lt;&gt;"",ISNUMBER(V214)),V214+ROW()/100000,"")</f>
        <v/>
      </c>
    </row>
    <row r="215" customFormat="false" ht="15" hidden="false" customHeight="false" outlineLevel="0" collapsed="false">
      <c r="A215" s="31" t="str">
        <f aca="false">IF(B215="","",ROW()-5)</f>
        <v/>
      </c>
      <c r="B215" s="32"/>
      <c r="C215" s="32"/>
      <c r="D215" s="32"/>
      <c r="E215" s="32"/>
      <c r="F215" s="32"/>
      <c r="G215" s="32"/>
      <c r="H215" s="33"/>
      <c r="I215" s="33"/>
      <c r="J215" s="32"/>
      <c r="K215" s="33"/>
      <c r="L215" s="32"/>
      <c r="M215" s="34"/>
      <c r="N215" s="34"/>
      <c r="O215" s="35" t="str">
        <f aca="false">IF(OR(M215="",N215="",M215=0),"",N215/M215)</f>
        <v/>
      </c>
      <c r="P215" s="36"/>
      <c r="Q215" s="37"/>
      <c r="R215" s="38" t="str">
        <f aca="false">IF(Q215&lt;&gt;"",Q215,IF(AND(P215&lt;&gt;"",M215&lt;&gt;""),P215*12*M215,""))</f>
        <v/>
      </c>
      <c r="S215" s="32"/>
      <c r="T215" s="32"/>
      <c r="U215" s="39"/>
      <c r="V215" s="39"/>
      <c r="W215" s="34"/>
      <c r="X215" s="32"/>
      <c r="Y215" s="34"/>
      <c r="Z215" s="40" t="str">
        <f aca="false">IF(OR(V215="",Y215=""),"",V215-Y215)</f>
        <v/>
      </c>
      <c r="AA215" s="41" t="str">
        <f aca="true">IF(V215="","",V215-TODAY())</f>
        <v/>
      </c>
      <c r="AB215" s="42" t="str">
        <f aca="false">IF(V215="","",IF(AA215&lt;0,"Past due",IF(AA215&lt;=90,"0–90 days",IF(AA215&lt;=180,"91–180 days",IF(AA215&lt;=365,"181–365 days","Over a year")))))</f>
        <v/>
      </c>
      <c r="AC215" s="43"/>
      <c r="AD215" s="32"/>
      <c r="AE215" s="32"/>
      <c r="AF215" s="33"/>
      <c r="AG215" s="32"/>
      <c r="AH215" s="33"/>
      <c r="AI215" s="32"/>
      <c r="AJ215" s="33"/>
      <c r="AK215" s="32"/>
      <c r="AL215" s="32"/>
      <c r="AM215" s="33"/>
      <c r="AN215" s="31" t="str">
        <f aca="false">IF(B215="","",IFERROR(INDEX(Lookup!$B$2:$B$3000,MATCH(TRIM(B215),Lookup!$A$2:$A$3000,0)),""))</f>
        <v/>
      </c>
      <c r="AO215" s="42" t="str">
        <f aca="false">IF(B215="","",IF(AN215="","No – will be reviewed","Yes"))</f>
        <v/>
      </c>
      <c r="AP215" s="31" t="str">
        <f aca="false">IF(AN215="","",IFERROR(INDEX(Catalog!$B$5:$B$400,MATCH(AN215,Catalog!$A$5:$A$400,0)),""))</f>
        <v/>
      </c>
      <c r="AQ215" s="31" t="str">
        <f aca="false">IF(AN215="","",IFERROR(INDEX(Catalog!$C$5:$C$400,MATCH(AN215,Catalog!$A$5:$A$400,0)),""))</f>
        <v/>
      </c>
      <c r="AR215" s="31" t="str">
        <f aca="false">IF(AN215="","",IFERROR(INDEX(Catalog!$D$5:$D$400,MATCH(AN215,Catalog!$A$5:$A$400,0)),""))</f>
        <v/>
      </c>
      <c r="AS215" s="31" t="str">
        <f aca="false">IF(AN215="","",IFERROR(INDEX(Catalog!$E$5:$E$400,MATCH(AN215,Catalog!$A$5:$A$400,0)),""))</f>
        <v/>
      </c>
      <c r="AT215" s="44" t="str">
        <f aca="false">IF(AN215="","",IFERROR(INDEX(Catalog!$F$5:$F$400,MATCH(AN215,Catalog!$A$5:$A$400,0)),""))</f>
        <v/>
      </c>
      <c r="AU215" s="31" t="str">
        <f aca="false">IF(AND(B215&lt;&gt;"",ISNUMBER(V215)),V215+ROW()/100000,"")</f>
        <v/>
      </c>
    </row>
    <row r="216" customFormat="false" ht="15" hidden="false" customHeight="false" outlineLevel="0" collapsed="false">
      <c r="A216" s="31" t="str">
        <f aca="false">IF(B216="","",ROW()-5)</f>
        <v/>
      </c>
      <c r="B216" s="32"/>
      <c r="C216" s="32"/>
      <c r="D216" s="32"/>
      <c r="E216" s="32"/>
      <c r="F216" s="32"/>
      <c r="G216" s="32"/>
      <c r="H216" s="33"/>
      <c r="I216" s="33"/>
      <c r="J216" s="32"/>
      <c r="K216" s="33"/>
      <c r="L216" s="32"/>
      <c r="M216" s="34"/>
      <c r="N216" s="34"/>
      <c r="O216" s="35" t="str">
        <f aca="false">IF(OR(M216="",N216="",M216=0),"",N216/M216)</f>
        <v/>
      </c>
      <c r="P216" s="36"/>
      <c r="Q216" s="37"/>
      <c r="R216" s="38" t="str">
        <f aca="false">IF(Q216&lt;&gt;"",Q216,IF(AND(P216&lt;&gt;"",M216&lt;&gt;""),P216*12*M216,""))</f>
        <v/>
      </c>
      <c r="S216" s="32"/>
      <c r="T216" s="32"/>
      <c r="U216" s="39"/>
      <c r="V216" s="39"/>
      <c r="W216" s="34"/>
      <c r="X216" s="32"/>
      <c r="Y216" s="34"/>
      <c r="Z216" s="40" t="str">
        <f aca="false">IF(OR(V216="",Y216=""),"",V216-Y216)</f>
        <v/>
      </c>
      <c r="AA216" s="41" t="str">
        <f aca="true">IF(V216="","",V216-TODAY())</f>
        <v/>
      </c>
      <c r="AB216" s="42" t="str">
        <f aca="false">IF(V216="","",IF(AA216&lt;0,"Past due",IF(AA216&lt;=90,"0–90 days",IF(AA216&lt;=180,"91–180 days",IF(AA216&lt;=365,"181–365 days","Over a year")))))</f>
        <v/>
      </c>
      <c r="AC216" s="43"/>
      <c r="AD216" s="32"/>
      <c r="AE216" s="32"/>
      <c r="AF216" s="33"/>
      <c r="AG216" s="32"/>
      <c r="AH216" s="33"/>
      <c r="AI216" s="32"/>
      <c r="AJ216" s="33"/>
      <c r="AK216" s="32"/>
      <c r="AL216" s="32"/>
      <c r="AM216" s="33"/>
      <c r="AN216" s="31" t="str">
        <f aca="false">IF(B216="","",IFERROR(INDEX(Lookup!$B$2:$B$3000,MATCH(TRIM(B216),Lookup!$A$2:$A$3000,0)),""))</f>
        <v/>
      </c>
      <c r="AO216" s="42" t="str">
        <f aca="false">IF(B216="","",IF(AN216="","No – will be reviewed","Yes"))</f>
        <v/>
      </c>
      <c r="AP216" s="31" t="str">
        <f aca="false">IF(AN216="","",IFERROR(INDEX(Catalog!$B$5:$B$400,MATCH(AN216,Catalog!$A$5:$A$400,0)),""))</f>
        <v/>
      </c>
      <c r="AQ216" s="31" t="str">
        <f aca="false">IF(AN216="","",IFERROR(INDEX(Catalog!$C$5:$C$400,MATCH(AN216,Catalog!$A$5:$A$400,0)),""))</f>
        <v/>
      </c>
      <c r="AR216" s="31" t="str">
        <f aca="false">IF(AN216="","",IFERROR(INDEX(Catalog!$D$5:$D$400,MATCH(AN216,Catalog!$A$5:$A$400,0)),""))</f>
        <v/>
      </c>
      <c r="AS216" s="31" t="str">
        <f aca="false">IF(AN216="","",IFERROR(INDEX(Catalog!$E$5:$E$400,MATCH(AN216,Catalog!$A$5:$A$400,0)),""))</f>
        <v/>
      </c>
      <c r="AT216" s="44" t="str">
        <f aca="false">IF(AN216="","",IFERROR(INDEX(Catalog!$F$5:$F$400,MATCH(AN216,Catalog!$A$5:$A$400,0)),""))</f>
        <v/>
      </c>
      <c r="AU216" s="31" t="str">
        <f aca="false">IF(AND(B216&lt;&gt;"",ISNUMBER(V216)),V216+ROW()/100000,"")</f>
        <v/>
      </c>
    </row>
    <row r="217" customFormat="false" ht="15" hidden="false" customHeight="false" outlineLevel="0" collapsed="false">
      <c r="A217" s="31" t="str">
        <f aca="false">IF(B217="","",ROW()-5)</f>
        <v/>
      </c>
      <c r="B217" s="32"/>
      <c r="C217" s="32"/>
      <c r="D217" s="32"/>
      <c r="E217" s="32"/>
      <c r="F217" s="32"/>
      <c r="G217" s="32"/>
      <c r="H217" s="33"/>
      <c r="I217" s="33"/>
      <c r="J217" s="32"/>
      <c r="K217" s="33"/>
      <c r="L217" s="32"/>
      <c r="M217" s="34"/>
      <c r="N217" s="34"/>
      <c r="O217" s="35" t="str">
        <f aca="false">IF(OR(M217="",N217="",M217=0),"",N217/M217)</f>
        <v/>
      </c>
      <c r="P217" s="36"/>
      <c r="Q217" s="37"/>
      <c r="R217" s="38" t="str">
        <f aca="false">IF(Q217&lt;&gt;"",Q217,IF(AND(P217&lt;&gt;"",M217&lt;&gt;""),P217*12*M217,""))</f>
        <v/>
      </c>
      <c r="S217" s="32"/>
      <c r="T217" s="32"/>
      <c r="U217" s="39"/>
      <c r="V217" s="39"/>
      <c r="W217" s="34"/>
      <c r="X217" s="32"/>
      <c r="Y217" s="34"/>
      <c r="Z217" s="40" t="str">
        <f aca="false">IF(OR(V217="",Y217=""),"",V217-Y217)</f>
        <v/>
      </c>
      <c r="AA217" s="41" t="str">
        <f aca="true">IF(V217="","",V217-TODAY())</f>
        <v/>
      </c>
      <c r="AB217" s="42" t="str">
        <f aca="false">IF(V217="","",IF(AA217&lt;0,"Past due",IF(AA217&lt;=90,"0–90 days",IF(AA217&lt;=180,"91–180 days",IF(AA217&lt;=365,"181–365 days","Over a year")))))</f>
        <v/>
      </c>
      <c r="AC217" s="43"/>
      <c r="AD217" s="32"/>
      <c r="AE217" s="32"/>
      <c r="AF217" s="33"/>
      <c r="AG217" s="32"/>
      <c r="AH217" s="33"/>
      <c r="AI217" s="32"/>
      <c r="AJ217" s="33"/>
      <c r="AK217" s="32"/>
      <c r="AL217" s="32"/>
      <c r="AM217" s="33"/>
      <c r="AN217" s="31" t="str">
        <f aca="false">IF(B217="","",IFERROR(INDEX(Lookup!$B$2:$B$3000,MATCH(TRIM(B217),Lookup!$A$2:$A$3000,0)),""))</f>
        <v/>
      </c>
      <c r="AO217" s="42" t="str">
        <f aca="false">IF(B217="","",IF(AN217="","No – will be reviewed","Yes"))</f>
        <v/>
      </c>
      <c r="AP217" s="31" t="str">
        <f aca="false">IF(AN217="","",IFERROR(INDEX(Catalog!$B$5:$B$400,MATCH(AN217,Catalog!$A$5:$A$400,0)),""))</f>
        <v/>
      </c>
      <c r="AQ217" s="31" t="str">
        <f aca="false">IF(AN217="","",IFERROR(INDEX(Catalog!$C$5:$C$400,MATCH(AN217,Catalog!$A$5:$A$400,0)),""))</f>
        <v/>
      </c>
      <c r="AR217" s="31" t="str">
        <f aca="false">IF(AN217="","",IFERROR(INDEX(Catalog!$D$5:$D$400,MATCH(AN217,Catalog!$A$5:$A$400,0)),""))</f>
        <v/>
      </c>
      <c r="AS217" s="31" t="str">
        <f aca="false">IF(AN217="","",IFERROR(INDEX(Catalog!$E$5:$E$400,MATCH(AN217,Catalog!$A$5:$A$400,0)),""))</f>
        <v/>
      </c>
      <c r="AT217" s="44" t="str">
        <f aca="false">IF(AN217="","",IFERROR(INDEX(Catalog!$F$5:$F$400,MATCH(AN217,Catalog!$A$5:$A$400,0)),""))</f>
        <v/>
      </c>
      <c r="AU217" s="31" t="str">
        <f aca="false">IF(AND(B217&lt;&gt;"",ISNUMBER(V217)),V217+ROW()/100000,"")</f>
        <v/>
      </c>
    </row>
    <row r="218" customFormat="false" ht="15" hidden="false" customHeight="false" outlineLevel="0" collapsed="false">
      <c r="A218" s="31" t="str">
        <f aca="false">IF(B218="","",ROW()-5)</f>
        <v/>
      </c>
      <c r="B218" s="32"/>
      <c r="C218" s="32"/>
      <c r="D218" s="32"/>
      <c r="E218" s="32"/>
      <c r="F218" s="32"/>
      <c r="G218" s="32"/>
      <c r="H218" s="33"/>
      <c r="I218" s="33"/>
      <c r="J218" s="32"/>
      <c r="K218" s="33"/>
      <c r="L218" s="32"/>
      <c r="M218" s="34"/>
      <c r="N218" s="34"/>
      <c r="O218" s="35" t="str">
        <f aca="false">IF(OR(M218="",N218="",M218=0),"",N218/M218)</f>
        <v/>
      </c>
      <c r="P218" s="36"/>
      <c r="Q218" s="37"/>
      <c r="R218" s="38" t="str">
        <f aca="false">IF(Q218&lt;&gt;"",Q218,IF(AND(P218&lt;&gt;"",M218&lt;&gt;""),P218*12*M218,""))</f>
        <v/>
      </c>
      <c r="S218" s="32"/>
      <c r="T218" s="32"/>
      <c r="U218" s="39"/>
      <c r="V218" s="39"/>
      <c r="W218" s="34"/>
      <c r="X218" s="32"/>
      <c r="Y218" s="34"/>
      <c r="Z218" s="40" t="str">
        <f aca="false">IF(OR(V218="",Y218=""),"",V218-Y218)</f>
        <v/>
      </c>
      <c r="AA218" s="41" t="str">
        <f aca="true">IF(V218="","",V218-TODAY())</f>
        <v/>
      </c>
      <c r="AB218" s="42" t="str">
        <f aca="false">IF(V218="","",IF(AA218&lt;0,"Past due",IF(AA218&lt;=90,"0–90 days",IF(AA218&lt;=180,"91–180 days",IF(AA218&lt;=365,"181–365 days","Over a year")))))</f>
        <v/>
      </c>
      <c r="AC218" s="43"/>
      <c r="AD218" s="32"/>
      <c r="AE218" s="32"/>
      <c r="AF218" s="33"/>
      <c r="AG218" s="32"/>
      <c r="AH218" s="33"/>
      <c r="AI218" s="32"/>
      <c r="AJ218" s="33"/>
      <c r="AK218" s="32"/>
      <c r="AL218" s="32"/>
      <c r="AM218" s="33"/>
      <c r="AN218" s="31" t="str">
        <f aca="false">IF(B218="","",IFERROR(INDEX(Lookup!$B$2:$B$3000,MATCH(TRIM(B218),Lookup!$A$2:$A$3000,0)),""))</f>
        <v/>
      </c>
      <c r="AO218" s="42" t="str">
        <f aca="false">IF(B218="","",IF(AN218="","No – will be reviewed","Yes"))</f>
        <v/>
      </c>
      <c r="AP218" s="31" t="str">
        <f aca="false">IF(AN218="","",IFERROR(INDEX(Catalog!$B$5:$B$400,MATCH(AN218,Catalog!$A$5:$A$400,0)),""))</f>
        <v/>
      </c>
      <c r="AQ218" s="31" t="str">
        <f aca="false">IF(AN218="","",IFERROR(INDEX(Catalog!$C$5:$C$400,MATCH(AN218,Catalog!$A$5:$A$400,0)),""))</f>
        <v/>
      </c>
      <c r="AR218" s="31" t="str">
        <f aca="false">IF(AN218="","",IFERROR(INDEX(Catalog!$D$5:$D$400,MATCH(AN218,Catalog!$A$5:$A$400,0)),""))</f>
        <v/>
      </c>
      <c r="AS218" s="31" t="str">
        <f aca="false">IF(AN218="","",IFERROR(INDEX(Catalog!$E$5:$E$400,MATCH(AN218,Catalog!$A$5:$A$400,0)),""))</f>
        <v/>
      </c>
      <c r="AT218" s="44" t="str">
        <f aca="false">IF(AN218="","",IFERROR(INDEX(Catalog!$F$5:$F$400,MATCH(AN218,Catalog!$A$5:$A$400,0)),""))</f>
        <v/>
      </c>
      <c r="AU218" s="31" t="str">
        <f aca="false">IF(AND(B218&lt;&gt;"",ISNUMBER(V218)),V218+ROW()/100000,"")</f>
        <v/>
      </c>
    </row>
    <row r="219" customFormat="false" ht="15" hidden="false" customHeight="false" outlineLevel="0" collapsed="false">
      <c r="A219" s="31" t="str">
        <f aca="false">IF(B219="","",ROW()-5)</f>
        <v/>
      </c>
      <c r="B219" s="32"/>
      <c r="C219" s="32"/>
      <c r="D219" s="32"/>
      <c r="E219" s="32"/>
      <c r="F219" s="32"/>
      <c r="G219" s="32"/>
      <c r="H219" s="33"/>
      <c r="I219" s="33"/>
      <c r="J219" s="32"/>
      <c r="K219" s="33"/>
      <c r="L219" s="32"/>
      <c r="M219" s="34"/>
      <c r="N219" s="34"/>
      <c r="O219" s="35" t="str">
        <f aca="false">IF(OR(M219="",N219="",M219=0),"",N219/M219)</f>
        <v/>
      </c>
      <c r="P219" s="36"/>
      <c r="Q219" s="37"/>
      <c r="R219" s="38" t="str">
        <f aca="false">IF(Q219&lt;&gt;"",Q219,IF(AND(P219&lt;&gt;"",M219&lt;&gt;""),P219*12*M219,""))</f>
        <v/>
      </c>
      <c r="S219" s="32"/>
      <c r="T219" s="32"/>
      <c r="U219" s="39"/>
      <c r="V219" s="39"/>
      <c r="W219" s="34"/>
      <c r="X219" s="32"/>
      <c r="Y219" s="34"/>
      <c r="Z219" s="40" t="str">
        <f aca="false">IF(OR(V219="",Y219=""),"",V219-Y219)</f>
        <v/>
      </c>
      <c r="AA219" s="41" t="str">
        <f aca="true">IF(V219="","",V219-TODAY())</f>
        <v/>
      </c>
      <c r="AB219" s="42" t="str">
        <f aca="false">IF(V219="","",IF(AA219&lt;0,"Past due",IF(AA219&lt;=90,"0–90 days",IF(AA219&lt;=180,"91–180 days",IF(AA219&lt;=365,"181–365 days","Over a year")))))</f>
        <v/>
      </c>
      <c r="AC219" s="43"/>
      <c r="AD219" s="32"/>
      <c r="AE219" s="32"/>
      <c r="AF219" s="33"/>
      <c r="AG219" s="32"/>
      <c r="AH219" s="33"/>
      <c r="AI219" s="32"/>
      <c r="AJ219" s="33"/>
      <c r="AK219" s="32"/>
      <c r="AL219" s="32"/>
      <c r="AM219" s="33"/>
      <c r="AN219" s="31" t="str">
        <f aca="false">IF(B219="","",IFERROR(INDEX(Lookup!$B$2:$B$3000,MATCH(TRIM(B219),Lookup!$A$2:$A$3000,0)),""))</f>
        <v/>
      </c>
      <c r="AO219" s="42" t="str">
        <f aca="false">IF(B219="","",IF(AN219="","No – will be reviewed","Yes"))</f>
        <v/>
      </c>
      <c r="AP219" s="31" t="str">
        <f aca="false">IF(AN219="","",IFERROR(INDEX(Catalog!$B$5:$B$400,MATCH(AN219,Catalog!$A$5:$A$400,0)),""))</f>
        <v/>
      </c>
      <c r="AQ219" s="31" t="str">
        <f aca="false">IF(AN219="","",IFERROR(INDEX(Catalog!$C$5:$C$400,MATCH(AN219,Catalog!$A$5:$A$400,0)),""))</f>
        <v/>
      </c>
      <c r="AR219" s="31" t="str">
        <f aca="false">IF(AN219="","",IFERROR(INDEX(Catalog!$D$5:$D$400,MATCH(AN219,Catalog!$A$5:$A$400,0)),""))</f>
        <v/>
      </c>
      <c r="AS219" s="31" t="str">
        <f aca="false">IF(AN219="","",IFERROR(INDEX(Catalog!$E$5:$E$400,MATCH(AN219,Catalog!$A$5:$A$400,0)),""))</f>
        <v/>
      </c>
      <c r="AT219" s="44" t="str">
        <f aca="false">IF(AN219="","",IFERROR(INDEX(Catalog!$F$5:$F$400,MATCH(AN219,Catalog!$A$5:$A$400,0)),""))</f>
        <v/>
      </c>
      <c r="AU219" s="31" t="str">
        <f aca="false">IF(AND(B219&lt;&gt;"",ISNUMBER(V219)),V219+ROW()/100000,"")</f>
        <v/>
      </c>
    </row>
    <row r="220" customFormat="false" ht="15" hidden="false" customHeight="false" outlineLevel="0" collapsed="false">
      <c r="A220" s="31" t="str">
        <f aca="false">IF(B220="","",ROW()-5)</f>
        <v/>
      </c>
      <c r="B220" s="32"/>
      <c r="C220" s="32"/>
      <c r="D220" s="32"/>
      <c r="E220" s="32"/>
      <c r="F220" s="32"/>
      <c r="G220" s="32"/>
      <c r="H220" s="33"/>
      <c r="I220" s="33"/>
      <c r="J220" s="32"/>
      <c r="K220" s="33"/>
      <c r="L220" s="32"/>
      <c r="M220" s="34"/>
      <c r="N220" s="34"/>
      <c r="O220" s="35" t="str">
        <f aca="false">IF(OR(M220="",N220="",M220=0),"",N220/M220)</f>
        <v/>
      </c>
      <c r="P220" s="36"/>
      <c r="Q220" s="37"/>
      <c r="R220" s="38" t="str">
        <f aca="false">IF(Q220&lt;&gt;"",Q220,IF(AND(P220&lt;&gt;"",M220&lt;&gt;""),P220*12*M220,""))</f>
        <v/>
      </c>
      <c r="S220" s="32"/>
      <c r="T220" s="32"/>
      <c r="U220" s="39"/>
      <c r="V220" s="39"/>
      <c r="W220" s="34"/>
      <c r="X220" s="32"/>
      <c r="Y220" s="34"/>
      <c r="Z220" s="40" t="str">
        <f aca="false">IF(OR(V220="",Y220=""),"",V220-Y220)</f>
        <v/>
      </c>
      <c r="AA220" s="41" t="str">
        <f aca="true">IF(V220="","",V220-TODAY())</f>
        <v/>
      </c>
      <c r="AB220" s="42" t="str">
        <f aca="false">IF(V220="","",IF(AA220&lt;0,"Past due",IF(AA220&lt;=90,"0–90 days",IF(AA220&lt;=180,"91–180 days",IF(AA220&lt;=365,"181–365 days","Over a year")))))</f>
        <v/>
      </c>
      <c r="AC220" s="43"/>
      <c r="AD220" s="32"/>
      <c r="AE220" s="32"/>
      <c r="AF220" s="33"/>
      <c r="AG220" s="32"/>
      <c r="AH220" s="33"/>
      <c r="AI220" s="32"/>
      <c r="AJ220" s="33"/>
      <c r="AK220" s="32"/>
      <c r="AL220" s="32"/>
      <c r="AM220" s="33"/>
      <c r="AN220" s="31" t="str">
        <f aca="false">IF(B220="","",IFERROR(INDEX(Lookup!$B$2:$B$3000,MATCH(TRIM(B220),Lookup!$A$2:$A$3000,0)),""))</f>
        <v/>
      </c>
      <c r="AO220" s="42" t="str">
        <f aca="false">IF(B220="","",IF(AN220="","No – will be reviewed","Yes"))</f>
        <v/>
      </c>
      <c r="AP220" s="31" t="str">
        <f aca="false">IF(AN220="","",IFERROR(INDEX(Catalog!$B$5:$B$400,MATCH(AN220,Catalog!$A$5:$A$400,0)),""))</f>
        <v/>
      </c>
      <c r="AQ220" s="31" t="str">
        <f aca="false">IF(AN220="","",IFERROR(INDEX(Catalog!$C$5:$C$400,MATCH(AN220,Catalog!$A$5:$A$400,0)),""))</f>
        <v/>
      </c>
      <c r="AR220" s="31" t="str">
        <f aca="false">IF(AN220="","",IFERROR(INDEX(Catalog!$D$5:$D$400,MATCH(AN220,Catalog!$A$5:$A$400,0)),""))</f>
        <v/>
      </c>
      <c r="AS220" s="31" t="str">
        <f aca="false">IF(AN220="","",IFERROR(INDEX(Catalog!$E$5:$E$400,MATCH(AN220,Catalog!$A$5:$A$400,0)),""))</f>
        <v/>
      </c>
      <c r="AT220" s="44" t="str">
        <f aca="false">IF(AN220="","",IFERROR(INDEX(Catalog!$F$5:$F$400,MATCH(AN220,Catalog!$A$5:$A$400,0)),""))</f>
        <v/>
      </c>
      <c r="AU220" s="31" t="str">
        <f aca="false">IF(AND(B220&lt;&gt;"",ISNUMBER(V220)),V220+ROW()/100000,"")</f>
        <v/>
      </c>
    </row>
    <row r="221" customFormat="false" ht="15" hidden="false" customHeight="false" outlineLevel="0" collapsed="false">
      <c r="A221" s="31" t="str">
        <f aca="false">IF(B221="","",ROW()-5)</f>
        <v/>
      </c>
      <c r="B221" s="32"/>
      <c r="C221" s="32"/>
      <c r="D221" s="32"/>
      <c r="E221" s="32"/>
      <c r="F221" s="32"/>
      <c r="G221" s="32"/>
      <c r="H221" s="33"/>
      <c r="I221" s="33"/>
      <c r="J221" s="32"/>
      <c r="K221" s="33"/>
      <c r="L221" s="32"/>
      <c r="M221" s="34"/>
      <c r="N221" s="34"/>
      <c r="O221" s="35" t="str">
        <f aca="false">IF(OR(M221="",N221="",M221=0),"",N221/M221)</f>
        <v/>
      </c>
      <c r="P221" s="36"/>
      <c r="Q221" s="37"/>
      <c r="R221" s="38" t="str">
        <f aca="false">IF(Q221&lt;&gt;"",Q221,IF(AND(P221&lt;&gt;"",M221&lt;&gt;""),P221*12*M221,""))</f>
        <v/>
      </c>
      <c r="S221" s="32"/>
      <c r="T221" s="32"/>
      <c r="U221" s="39"/>
      <c r="V221" s="39"/>
      <c r="W221" s="34"/>
      <c r="X221" s="32"/>
      <c r="Y221" s="34"/>
      <c r="Z221" s="40" t="str">
        <f aca="false">IF(OR(V221="",Y221=""),"",V221-Y221)</f>
        <v/>
      </c>
      <c r="AA221" s="41" t="str">
        <f aca="true">IF(V221="","",V221-TODAY())</f>
        <v/>
      </c>
      <c r="AB221" s="42" t="str">
        <f aca="false">IF(V221="","",IF(AA221&lt;0,"Past due",IF(AA221&lt;=90,"0–90 days",IF(AA221&lt;=180,"91–180 days",IF(AA221&lt;=365,"181–365 days","Over a year")))))</f>
        <v/>
      </c>
      <c r="AC221" s="43"/>
      <c r="AD221" s="32"/>
      <c r="AE221" s="32"/>
      <c r="AF221" s="33"/>
      <c r="AG221" s="32"/>
      <c r="AH221" s="33"/>
      <c r="AI221" s="32"/>
      <c r="AJ221" s="33"/>
      <c r="AK221" s="32"/>
      <c r="AL221" s="32"/>
      <c r="AM221" s="33"/>
      <c r="AN221" s="31" t="str">
        <f aca="false">IF(B221="","",IFERROR(INDEX(Lookup!$B$2:$B$3000,MATCH(TRIM(B221),Lookup!$A$2:$A$3000,0)),""))</f>
        <v/>
      </c>
      <c r="AO221" s="42" t="str">
        <f aca="false">IF(B221="","",IF(AN221="","No – will be reviewed","Yes"))</f>
        <v/>
      </c>
      <c r="AP221" s="31" t="str">
        <f aca="false">IF(AN221="","",IFERROR(INDEX(Catalog!$B$5:$B$400,MATCH(AN221,Catalog!$A$5:$A$400,0)),""))</f>
        <v/>
      </c>
      <c r="AQ221" s="31" t="str">
        <f aca="false">IF(AN221="","",IFERROR(INDEX(Catalog!$C$5:$C$400,MATCH(AN221,Catalog!$A$5:$A$400,0)),""))</f>
        <v/>
      </c>
      <c r="AR221" s="31" t="str">
        <f aca="false">IF(AN221="","",IFERROR(INDEX(Catalog!$D$5:$D$400,MATCH(AN221,Catalog!$A$5:$A$400,0)),""))</f>
        <v/>
      </c>
      <c r="AS221" s="31" t="str">
        <f aca="false">IF(AN221="","",IFERROR(INDEX(Catalog!$E$5:$E$400,MATCH(AN221,Catalog!$A$5:$A$400,0)),""))</f>
        <v/>
      </c>
      <c r="AT221" s="44" t="str">
        <f aca="false">IF(AN221="","",IFERROR(INDEX(Catalog!$F$5:$F$400,MATCH(AN221,Catalog!$A$5:$A$400,0)),""))</f>
        <v/>
      </c>
      <c r="AU221" s="31" t="str">
        <f aca="false">IF(AND(B221&lt;&gt;"",ISNUMBER(V221)),V221+ROW()/100000,"")</f>
        <v/>
      </c>
    </row>
    <row r="222" customFormat="false" ht="15" hidden="false" customHeight="false" outlineLevel="0" collapsed="false">
      <c r="A222" s="31" t="str">
        <f aca="false">IF(B222="","",ROW()-5)</f>
        <v/>
      </c>
      <c r="B222" s="32"/>
      <c r="C222" s="32"/>
      <c r="D222" s="32"/>
      <c r="E222" s="32"/>
      <c r="F222" s="32"/>
      <c r="G222" s="32"/>
      <c r="H222" s="33"/>
      <c r="I222" s="33"/>
      <c r="J222" s="32"/>
      <c r="K222" s="33"/>
      <c r="L222" s="32"/>
      <c r="M222" s="34"/>
      <c r="N222" s="34"/>
      <c r="O222" s="35" t="str">
        <f aca="false">IF(OR(M222="",N222="",M222=0),"",N222/M222)</f>
        <v/>
      </c>
      <c r="P222" s="36"/>
      <c r="Q222" s="37"/>
      <c r="R222" s="38" t="str">
        <f aca="false">IF(Q222&lt;&gt;"",Q222,IF(AND(P222&lt;&gt;"",M222&lt;&gt;""),P222*12*M222,""))</f>
        <v/>
      </c>
      <c r="S222" s="32"/>
      <c r="T222" s="32"/>
      <c r="U222" s="39"/>
      <c r="V222" s="39"/>
      <c r="W222" s="34"/>
      <c r="X222" s="32"/>
      <c r="Y222" s="34"/>
      <c r="Z222" s="40" t="str">
        <f aca="false">IF(OR(V222="",Y222=""),"",V222-Y222)</f>
        <v/>
      </c>
      <c r="AA222" s="41" t="str">
        <f aca="true">IF(V222="","",V222-TODAY())</f>
        <v/>
      </c>
      <c r="AB222" s="42" t="str">
        <f aca="false">IF(V222="","",IF(AA222&lt;0,"Past due",IF(AA222&lt;=90,"0–90 days",IF(AA222&lt;=180,"91–180 days",IF(AA222&lt;=365,"181–365 days","Over a year")))))</f>
        <v/>
      </c>
      <c r="AC222" s="43"/>
      <c r="AD222" s="32"/>
      <c r="AE222" s="32"/>
      <c r="AF222" s="33"/>
      <c r="AG222" s="32"/>
      <c r="AH222" s="33"/>
      <c r="AI222" s="32"/>
      <c r="AJ222" s="33"/>
      <c r="AK222" s="32"/>
      <c r="AL222" s="32"/>
      <c r="AM222" s="33"/>
      <c r="AN222" s="31" t="str">
        <f aca="false">IF(B222="","",IFERROR(INDEX(Lookup!$B$2:$B$3000,MATCH(TRIM(B222),Lookup!$A$2:$A$3000,0)),""))</f>
        <v/>
      </c>
      <c r="AO222" s="42" t="str">
        <f aca="false">IF(B222="","",IF(AN222="","No – will be reviewed","Yes"))</f>
        <v/>
      </c>
      <c r="AP222" s="31" t="str">
        <f aca="false">IF(AN222="","",IFERROR(INDEX(Catalog!$B$5:$B$400,MATCH(AN222,Catalog!$A$5:$A$400,0)),""))</f>
        <v/>
      </c>
      <c r="AQ222" s="31" t="str">
        <f aca="false">IF(AN222="","",IFERROR(INDEX(Catalog!$C$5:$C$400,MATCH(AN222,Catalog!$A$5:$A$400,0)),""))</f>
        <v/>
      </c>
      <c r="AR222" s="31" t="str">
        <f aca="false">IF(AN222="","",IFERROR(INDEX(Catalog!$D$5:$D$400,MATCH(AN222,Catalog!$A$5:$A$400,0)),""))</f>
        <v/>
      </c>
      <c r="AS222" s="31" t="str">
        <f aca="false">IF(AN222="","",IFERROR(INDEX(Catalog!$E$5:$E$400,MATCH(AN222,Catalog!$A$5:$A$400,0)),""))</f>
        <v/>
      </c>
      <c r="AT222" s="44" t="str">
        <f aca="false">IF(AN222="","",IFERROR(INDEX(Catalog!$F$5:$F$400,MATCH(AN222,Catalog!$A$5:$A$400,0)),""))</f>
        <v/>
      </c>
      <c r="AU222" s="31" t="str">
        <f aca="false">IF(AND(B222&lt;&gt;"",ISNUMBER(V222)),V222+ROW()/100000,"")</f>
        <v/>
      </c>
    </row>
    <row r="223" customFormat="false" ht="15" hidden="false" customHeight="false" outlineLevel="0" collapsed="false">
      <c r="A223" s="31" t="str">
        <f aca="false">IF(B223="","",ROW()-5)</f>
        <v/>
      </c>
      <c r="B223" s="32"/>
      <c r="C223" s="32"/>
      <c r="D223" s="32"/>
      <c r="E223" s="32"/>
      <c r="F223" s="32"/>
      <c r="G223" s="32"/>
      <c r="H223" s="33"/>
      <c r="I223" s="33"/>
      <c r="J223" s="32"/>
      <c r="K223" s="33"/>
      <c r="L223" s="32"/>
      <c r="M223" s="34"/>
      <c r="N223" s="34"/>
      <c r="O223" s="35" t="str">
        <f aca="false">IF(OR(M223="",N223="",M223=0),"",N223/M223)</f>
        <v/>
      </c>
      <c r="P223" s="36"/>
      <c r="Q223" s="37"/>
      <c r="R223" s="38" t="str">
        <f aca="false">IF(Q223&lt;&gt;"",Q223,IF(AND(P223&lt;&gt;"",M223&lt;&gt;""),P223*12*M223,""))</f>
        <v/>
      </c>
      <c r="S223" s="32"/>
      <c r="T223" s="32"/>
      <c r="U223" s="39"/>
      <c r="V223" s="39"/>
      <c r="W223" s="34"/>
      <c r="X223" s="32"/>
      <c r="Y223" s="34"/>
      <c r="Z223" s="40" t="str">
        <f aca="false">IF(OR(V223="",Y223=""),"",V223-Y223)</f>
        <v/>
      </c>
      <c r="AA223" s="41" t="str">
        <f aca="true">IF(V223="","",V223-TODAY())</f>
        <v/>
      </c>
      <c r="AB223" s="42" t="str">
        <f aca="false">IF(V223="","",IF(AA223&lt;0,"Past due",IF(AA223&lt;=90,"0–90 days",IF(AA223&lt;=180,"91–180 days",IF(AA223&lt;=365,"181–365 days","Over a year")))))</f>
        <v/>
      </c>
      <c r="AC223" s="43"/>
      <c r="AD223" s="32"/>
      <c r="AE223" s="32"/>
      <c r="AF223" s="33"/>
      <c r="AG223" s="32"/>
      <c r="AH223" s="33"/>
      <c r="AI223" s="32"/>
      <c r="AJ223" s="33"/>
      <c r="AK223" s="32"/>
      <c r="AL223" s="32"/>
      <c r="AM223" s="33"/>
      <c r="AN223" s="31" t="str">
        <f aca="false">IF(B223="","",IFERROR(INDEX(Lookup!$B$2:$B$3000,MATCH(TRIM(B223),Lookup!$A$2:$A$3000,0)),""))</f>
        <v/>
      </c>
      <c r="AO223" s="42" t="str">
        <f aca="false">IF(B223="","",IF(AN223="","No – will be reviewed","Yes"))</f>
        <v/>
      </c>
      <c r="AP223" s="31" t="str">
        <f aca="false">IF(AN223="","",IFERROR(INDEX(Catalog!$B$5:$B$400,MATCH(AN223,Catalog!$A$5:$A$400,0)),""))</f>
        <v/>
      </c>
      <c r="AQ223" s="31" t="str">
        <f aca="false">IF(AN223="","",IFERROR(INDEX(Catalog!$C$5:$C$400,MATCH(AN223,Catalog!$A$5:$A$400,0)),""))</f>
        <v/>
      </c>
      <c r="AR223" s="31" t="str">
        <f aca="false">IF(AN223="","",IFERROR(INDEX(Catalog!$D$5:$D$400,MATCH(AN223,Catalog!$A$5:$A$400,0)),""))</f>
        <v/>
      </c>
      <c r="AS223" s="31" t="str">
        <f aca="false">IF(AN223="","",IFERROR(INDEX(Catalog!$E$5:$E$400,MATCH(AN223,Catalog!$A$5:$A$400,0)),""))</f>
        <v/>
      </c>
      <c r="AT223" s="44" t="str">
        <f aca="false">IF(AN223="","",IFERROR(INDEX(Catalog!$F$5:$F$400,MATCH(AN223,Catalog!$A$5:$A$400,0)),""))</f>
        <v/>
      </c>
      <c r="AU223" s="31" t="str">
        <f aca="false">IF(AND(B223&lt;&gt;"",ISNUMBER(V223)),V223+ROW()/100000,"")</f>
        <v/>
      </c>
    </row>
    <row r="224" customFormat="false" ht="15" hidden="false" customHeight="false" outlineLevel="0" collapsed="false">
      <c r="A224" s="31" t="str">
        <f aca="false">IF(B224="","",ROW()-5)</f>
        <v/>
      </c>
      <c r="B224" s="32"/>
      <c r="C224" s="32"/>
      <c r="D224" s="32"/>
      <c r="E224" s="32"/>
      <c r="F224" s="32"/>
      <c r="G224" s="32"/>
      <c r="H224" s="33"/>
      <c r="I224" s="33"/>
      <c r="J224" s="32"/>
      <c r="K224" s="33"/>
      <c r="L224" s="32"/>
      <c r="M224" s="34"/>
      <c r="N224" s="34"/>
      <c r="O224" s="35" t="str">
        <f aca="false">IF(OR(M224="",N224="",M224=0),"",N224/M224)</f>
        <v/>
      </c>
      <c r="P224" s="36"/>
      <c r="Q224" s="37"/>
      <c r="R224" s="38" t="str">
        <f aca="false">IF(Q224&lt;&gt;"",Q224,IF(AND(P224&lt;&gt;"",M224&lt;&gt;""),P224*12*M224,""))</f>
        <v/>
      </c>
      <c r="S224" s="32"/>
      <c r="T224" s="32"/>
      <c r="U224" s="39"/>
      <c r="V224" s="39"/>
      <c r="W224" s="34"/>
      <c r="X224" s="32"/>
      <c r="Y224" s="34"/>
      <c r="Z224" s="40" t="str">
        <f aca="false">IF(OR(V224="",Y224=""),"",V224-Y224)</f>
        <v/>
      </c>
      <c r="AA224" s="41" t="str">
        <f aca="true">IF(V224="","",V224-TODAY())</f>
        <v/>
      </c>
      <c r="AB224" s="42" t="str">
        <f aca="false">IF(V224="","",IF(AA224&lt;0,"Past due",IF(AA224&lt;=90,"0–90 days",IF(AA224&lt;=180,"91–180 days",IF(AA224&lt;=365,"181–365 days","Over a year")))))</f>
        <v/>
      </c>
      <c r="AC224" s="43"/>
      <c r="AD224" s="32"/>
      <c r="AE224" s="32"/>
      <c r="AF224" s="33"/>
      <c r="AG224" s="32"/>
      <c r="AH224" s="33"/>
      <c r="AI224" s="32"/>
      <c r="AJ224" s="33"/>
      <c r="AK224" s="32"/>
      <c r="AL224" s="32"/>
      <c r="AM224" s="33"/>
      <c r="AN224" s="31" t="str">
        <f aca="false">IF(B224="","",IFERROR(INDEX(Lookup!$B$2:$B$3000,MATCH(TRIM(B224),Lookup!$A$2:$A$3000,0)),""))</f>
        <v/>
      </c>
      <c r="AO224" s="42" t="str">
        <f aca="false">IF(B224="","",IF(AN224="","No – will be reviewed","Yes"))</f>
        <v/>
      </c>
      <c r="AP224" s="31" t="str">
        <f aca="false">IF(AN224="","",IFERROR(INDEX(Catalog!$B$5:$B$400,MATCH(AN224,Catalog!$A$5:$A$400,0)),""))</f>
        <v/>
      </c>
      <c r="AQ224" s="31" t="str">
        <f aca="false">IF(AN224="","",IFERROR(INDEX(Catalog!$C$5:$C$400,MATCH(AN224,Catalog!$A$5:$A$400,0)),""))</f>
        <v/>
      </c>
      <c r="AR224" s="31" t="str">
        <f aca="false">IF(AN224="","",IFERROR(INDEX(Catalog!$D$5:$D$400,MATCH(AN224,Catalog!$A$5:$A$400,0)),""))</f>
        <v/>
      </c>
      <c r="AS224" s="31" t="str">
        <f aca="false">IF(AN224="","",IFERROR(INDEX(Catalog!$E$5:$E$400,MATCH(AN224,Catalog!$A$5:$A$400,0)),""))</f>
        <v/>
      </c>
      <c r="AT224" s="44" t="str">
        <f aca="false">IF(AN224="","",IFERROR(INDEX(Catalog!$F$5:$F$400,MATCH(AN224,Catalog!$A$5:$A$400,0)),""))</f>
        <v/>
      </c>
      <c r="AU224" s="31" t="str">
        <f aca="false">IF(AND(B224&lt;&gt;"",ISNUMBER(V224)),V224+ROW()/100000,"")</f>
        <v/>
      </c>
    </row>
    <row r="225" customFormat="false" ht="15" hidden="false" customHeight="false" outlineLevel="0" collapsed="false">
      <c r="A225" s="31" t="str">
        <f aca="false">IF(B225="","",ROW()-5)</f>
        <v/>
      </c>
      <c r="B225" s="32"/>
      <c r="C225" s="32"/>
      <c r="D225" s="32"/>
      <c r="E225" s="32"/>
      <c r="F225" s="32"/>
      <c r="G225" s="32"/>
      <c r="H225" s="33"/>
      <c r="I225" s="33"/>
      <c r="J225" s="32"/>
      <c r="K225" s="33"/>
      <c r="L225" s="32"/>
      <c r="M225" s="34"/>
      <c r="N225" s="34"/>
      <c r="O225" s="35" t="str">
        <f aca="false">IF(OR(M225="",N225="",M225=0),"",N225/M225)</f>
        <v/>
      </c>
      <c r="P225" s="36"/>
      <c r="Q225" s="37"/>
      <c r="R225" s="38" t="str">
        <f aca="false">IF(Q225&lt;&gt;"",Q225,IF(AND(P225&lt;&gt;"",M225&lt;&gt;""),P225*12*M225,""))</f>
        <v/>
      </c>
      <c r="S225" s="32"/>
      <c r="T225" s="32"/>
      <c r="U225" s="39"/>
      <c r="V225" s="39"/>
      <c r="W225" s="34"/>
      <c r="X225" s="32"/>
      <c r="Y225" s="34"/>
      <c r="Z225" s="40" t="str">
        <f aca="false">IF(OR(V225="",Y225=""),"",V225-Y225)</f>
        <v/>
      </c>
      <c r="AA225" s="41" t="str">
        <f aca="true">IF(V225="","",V225-TODAY())</f>
        <v/>
      </c>
      <c r="AB225" s="42" t="str">
        <f aca="false">IF(V225="","",IF(AA225&lt;0,"Past due",IF(AA225&lt;=90,"0–90 days",IF(AA225&lt;=180,"91–180 days",IF(AA225&lt;=365,"181–365 days","Over a year")))))</f>
        <v/>
      </c>
      <c r="AC225" s="43"/>
      <c r="AD225" s="32"/>
      <c r="AE225" s="32"/>
      <c r="AF225" s="33"/>
      <c r="AG225" s="32"/>
      <c r="AH225" s="33"/>
      <c r="AI225" s="32"/>
      <c r="AJ225" s="33"/>
      <c r="AK225" s="32"/>
      <c r="AL225" s="32"/>
      <c r="AM225" s="33"/>
      <c r="AN225" s="31" t="str">
        <f aca="false">IF(B225="","",IFERROR(INDEX(Lookup!$B$2:$B$3000,MATCH(TRIM(B225),Lookup!$A$2:$A$3000,0)),""))</f>
        <v/>
      </c>
      <c r="AO225" s="42" t="str">
        <f aca="false">IF(B225="","",IF(AN225="","No – will be reviewed","Yes"))</f>
        <v/>
      </c>
      <c r="AP225" s="31" t="str">
        <f aca="false">IF(AN225="","",IFERROR(INDEX(Catalog!$B$5:$B$400,MATCH(AN225,Catalog!$A$5:$A$400,0)),""))</f>
        <v/>
      </c>
      <c r="AQ225" s="31" t="str">
        <f aca="false">IF(AN225="","",IFERROR(INDEX(Catalog!$C$5:$C$400,MATCH(AN225,Catalog!$A$5:$A$400,0)),""))</f>
        <v/>
      </c>
      <c r="AR225" s="31" t="str">
        <f aca="false">IF(AN225="","",IFERROR(INDEX(Catalog!$D$5:$D$400,MATCH(AN225,Catalog!$A$5:$A$400,0)),""))</f>
        <v/>
      </c>
      <c r="AS225" s="31" t="str">
        <f aca="false">IF(AN225="","",IFERROR(INDEX(Catalog!$E$5:$E$400,MATCH(AN225,Catalog!$A$5:$A$400,0)),""))</f>
        <v/>
      </c>
      <c r="AT225" s="44" t="str">
        <f aca="false">IF(AN225="","",IFERROR(INDEX(Catalog!$F$5:$F$400,MATCH(AN225,Catalog!$A$5:$A$400,0)),""))</f>
        <v/>
      </c>
      <c r="AU225" s="31" t="str">
        <f aca="false">IF(AND(B225&lt;&gt;"",ISNUMBER(V225)),V225+ROW()/100000,"")</f>
        <v/>
      </c>
    </row>
    <row r="226" customFormat="false" ht="15" hidden="false" customHeight="false" outlineLevel="0" collapsed="false">
      <c r="A226" s="31" t="str">
        <f aca="false">IF(B226="","",ROW()-5)</f>
        <v/>
      </c>
      <c r="B226" s="32"/>
      <c r="C226" s="32"/>
      <c r="D226" s="32"/>
      <c r="E226" s="32"/>
      <c r="F226" s="32"/>
      <c r="G226" s="32"/>
      <c r="H226" s="33"/>
      <c r="I226" s="33"/>
      <c r="J226" s="32"/>
      <c r="K226" s="33"/>
      <c r="L226" s="32"/>
      <c r="M226" s="34"/>
      <c r="N226" s="34"/>
      <c r="O226" s="35" t="str">
        <f aca="false">IF(OR(M226="",N226="",M226=0),"",N226/M226)</f>
        <v/>
      </c>
      <c r="P226" s="36"/>
      <c r="Q226" s="37"/>
      <c r="R226" s="38" t="str">
        <f aca="false">IF(Q226&lt;&gt;"",Q226,IF(AND(P226&lt;&gt;"",M226&lt;&gt;""),P226*12*M226,""))</f>
        <v/>
      </c>
      <c r="S226" s="32"/>
      <c r="T226" s="32"/>
      <c r="U226" s="39"/>
      <c r="V226" s="39"/>
      <c r="W226" s="34"/>
      <c r="X226" s="32"/>
      <c r="Y226" s="34"/>
      <c r="Z226" s="40" t="str">
        <f aca="false">IF(OR(V226="",Y226=""),"",V226-Y226)</f>
        <v/>
      </c>
      <c r="AA226" s="41" t="str">
        <f aca="true">IF(V226="","",V226-TODAY())</f>
        <v/>
      </c>
      <c r="AB226" s="42" t="str">
        <f aca="false">IF(V226="","",IF(AA226&lt;0,"Past due",IF(AA226&lt;=90,"0–90 days",IF(AA226&lt;=180,"91–180 days",IF(AA226&lt;=365,"181–365 days","Over a year")))))</f>
        <v/>
      </c>
      <c r="AC226" s="43"/>
      <c r="AD226" s="32"/>
      <c r="AE226" s="32"/>
      <c r="AF226" s="33"/>
      <c r="AG226" s="32"/>
      <c r="AH226" s="33"/>
      <c r="AI226" s="32"/>
      <c r="AJ226" s="33"/>
      <c r="AK226" s="32"/>
      <c r="AL226" s="32"/>
      <c r="AM226" s="33"/>
      <c r="AN226" s="31" t="str">
        <f aca="false">IF(B226="","",IFERROR(INDEX(Lookup!$B$2:$B$3000,MATCH(TRIM(B226),Lookup!$A$2:$A$3000,0)),""))</f>
        <v/>
      </c>
      <c r="AO226" s="42" t="str">
        <f aca="false">IF(B226="","",IF(AN226="","No – will be reviewed","Yes"))</f>
        <v/>
      </c>
      <c r="AP226" s="31" t="str">
        <f aca="false">IF(AN226="","",IFERROR(INDEX(Catalog!$B$5:$B$400,MATCH(AN226,Catalog!$A$5:$A$400,0)),""))</f>
        <v/>
      </c>
      <c r="AQ226" s="31" t="str">
        <f aca="false">IF(AN226="","",IFERROR(INDEX(Catalog!$C$5:$C$400,MATCH(AN226,Catalog!$A$5:$A$400,0)),""))</f>
        <v/>
      </c>
      <c r="AR226" s="31" t="str">
        <f aca="false">IF(AN226="","",IFERROR(INDEX(Catalog!$D$5:$D$400,MATCH(AN226,Catalog!$A$5:$A$400,0)),""))</f>
        <v/>
      </c>
      <c r="AS226" s="31" t="str">
        <f aca="false">IF(AN226="","",IFERROR(INDEX(Catalog!$E$5:$E$400,MATCH(AN226,Catalog!$A$5:$A$400,0)),""))</f>
        <v/>
      </c>
      <c r="AT226" s="44" t="str">
        <f aca="false">IF(AN226="","",IFERROR(INDEX(Catalog!$F$5:$F$400,MATCH(AN226,Catalog!$A$5:$A$400,0)),""))</f>
        <v/>
      </c>
      <c r="AU226" s="31" t="str">
        <f aca="false">IF(AND(B226&lt;&gt;"",ISNUMBER(V226)),V226+ROW()/100000,"")</f>
        <v/>
      </c>
    </row>
    <row r="227" customFormat="false" ht="15" hidden="false" customHeight="false" outlineLevel="0" collapsed="false">
      <c r="A227" s="31" t="str">
        <f aca="false">IF(B227="","",ROW()-5)</f>
        <v/>
      </c>
      <c r="B227" s="32"/>
      <c r="C227" s="32"/>
      <c r="D227" s="32"/>
      <c r="E227" s="32"/>
      <c r="F227" s="32"/>
      <c r="G227" s="32"/>
      <c r="H227" s="33"/>
      <c r="I227" s="33"/>
      <c r="J227" s="32"/>
      <c r="K227" s="33"/>
      <c r="L227" s="32"/>
      <c r="M227" s="34"/>
      <c r="N227" s="34"/>
      <c r="O227" s="35" t="str">
        <f aca="false">IF(OR(M227="",N227="",M227=0),"",N227/M227)</f>
        <v/>
      </c>
      <c r="P227" s="36"/>
      <c r="Q227" s="37"/>
      <c r="R227" s="38" t="str">
        <f aca="false">IF(Q227&lt;&gt;"",Q227,IF(AND(P227&lt;&gt;"",M227&lt;&gt;""),P227*12*M227,""))</f>
        <v/>
      </c>
      <c r="S227" s="32"/>
      <c r="T227" s="32"/>
      <c r="U227" s="39"/>
      <c r="V227" s="39"/>
      <c r="W227" s="34"/>
      <c r="X227" s="32"/>
      <c r="Y227" s="34"/>
      <c r="Z227" s="40" t="str">
        <f aca="false">IF(OR(V227="",Y227=""),"",V227-Y227)</f>
        <v/>
      </c>
      <c r="AA227" s="41" t="str">
        <f aca="true">IF(V227="","",V227-TODAY())</f>
        <v/>
      </c>
      <c r="AB227" s="42" t="str">
        <f aca="false">IF(V227="","",IF(AA227&lt;0,"Past due",IF(AA227&lt;=90,"0–90 days",IF(AA227&lt;=180,"91–180 days",IF(AA227&lt;=365,"181–365 days","Over a year")))))</f>
        <v/>
      </c>
      <c r="AC227" s="43"/>
      <c r="AD227" s="32"/>
      <c r="AE227" s="32"/>
      <c r="AF227" s="33"/>
      <c r="AG227" s="32"/>
      <c r="AH227" s="33"/>
      <c r="AI227" s="32"/>
      <c r="AJ227" s="33"/>
      <c r="AK227" s="32"/>
      <c r="AL227" s="32"/>
      <c r="AM227" s="33"/>
      <c r="AN227" s="31" t="str">
        <f aca="false">IF(B227="","",IFERROR(INDEX(Lookup!$B$2:$B$3000,MATCH(TRIM(B227),Lookup!$A$2:$A$3000,0)),""))</f>
        <v/>
      </c>
      <c r="AO227" s="42" t="str">
        <f aca="false">IF(B227="","",IF(AN227="","No – will be reviewed","Yes"))</f>
        <v/>
      </c>
      <c r="AP227" s="31" t="str">
        <f aca="false">IF(AN227="","",IFERROR(INDEX(Catalog!$B$5:$B$400,MATCH(AN227,Catalog!$A$5:$A$400,0)),""))</f>
        <v/>
      </c>
      <c r="AQ227" s="31" t="str">
        <f aca="false">IF(AN227="","",IFERROR(INDEX(Catalog!$C$5:$C$400,MATCH(AN227,Catalog!$A$5:$A$400,0)),""))</f>
        <v/>
      </c>
      <c r="AR227" s="31" t="str">
        <f aca="false">IF(AN227="","",IFERROR(INDEX(Catalog!$D$5:$D$400,MATCH(AN227,Catalog!$A$5:$A$400,0)),""))</f>
        <v/>
      </c>
      <c r="AS227" s="31" t="str">
        <f aca="false">IF(AN227="","",IFERROR(INDEX(Catalog!$E$5:$E$400,MATCH(AN227,Catalog!$A$5:$A$400,0)),""))</f>
        <v/>
      </c>
      <c r="AT227" s="44" t="str">
        <f aca="false">IF(AN227="","",IFERROR(INDEX(Catalog!$F$5:$F$400,MATCH(AN227,Catalog!$A$5:$A$400,0)),""))</f>
        <v/>
      </c>
      <c r="AU227" s="31" t="str">
        <f aca="false">IF(AND(B227&lt;&gt;"",ISNUMBER(V227)),V227+ROW()/100000,"")</f>
        <v/>
      </c>
    </row>
    <row r="228" customFormat="false" ht="15" hidden="false" customHeight="false" outlineLevel="0" collapsed="false">
      <c r="A228" s="31" t="str">
        <f aca="false">IF(B228="","",ROW()-5)</f>
        <v/>
      </c>
      <c r="B228" s="32"/>
      <c r="C228" s="32"/>
      <c r="D228" s="32"/>
      <c r="E228" s="32"/>
      <c r="F228" s="32"/>
      <c r="G228" s="32"/>
      <c r="H228" s="33"/>
      <c r="I228" s="33"/>
      <c r="J228" s="32"/>
      <c r="K228" s="33"/>
      <c r="L228" s="32"/>
      <c r="M228" s="34"/>
      <c r="N228" s="34"/>
      <c r="O228" s="35" t="str">
        <f aca="false">IF(OR(M228="",N228="",M228=0),"",N228/M228)</f>
        <v/>
      </c>
      <c r="P228" s="36"/>
      <c r="Q228" s="37"/>
      <c r="R228" s="38" t="str">
        <f aca="false">IF(Q228&lt;&gt;"",Q228,IF(AND(P228&lt;&gt;"",M228&lt;&gt;""),P228*12*M228,""))</f>
        <v/>
      </c>
      <c r="S228" s="32"/>
      <c r="T228" s="32"/>
      <c r="U228" s="39"/>
      <c r="V228" s="39"/>
      <c r="W228" s="34"/>
      <c r="X228" s="32"/>
      <c r="Y228" s="34"/>
      <c r="Z228" s="40" t="str">
        <f aca="false">IF(OR(V228="",Y228=""),"",V228-Y228)</f>
        <v/>
      </c>
      <c r="AA228" s="41" t="str">
        <f aca="true">IF(V228="","",V228-TODAY())</f>
        <v/>
      </c>
      <c r="AB228" s="42" t="str">
        <f aca="false">IF(V228="","",IF(AA228&lt;0,"Past due",IF(AA228&lt;=90,"0–90 days",IF(AA228&lt;=180,"91–180 days",IF(AA228&lt;=365,"181–365 days","Over a year")))))</f>
        <v/>
      </c>
      <c r="AC228" s="43"/>
      <c r="AD228" s="32"/>
      <c r="AE228" s="32"/>
      <c r="AF228" s="33"/>
      <c r="AG228" s="32"/>
      <c r="AH228" s="33"/>
      <c r="AI228" s="32"/>
      <c r="AJ228" s="33"/>
      <c r="AK228" s="32"/>
      <c r="AL228" s="32"/>
      <c r="AM228" s="33"/>
      <c r="AN228" s="31" t="str">
        <f aca="false">IF(B228="","",IFERROR(INDEX(Lookup!$B$2:$B$3000,MATCH(TRIM(B228),Lookup!$A$2:$A$3000,0)),""))</f>
        <v/>
      </c>
      <c r="AO228" s="42" t="str">
        <f aca="false">IF(B228="","",IF(AN228="","No – will be reviewed","Yes"))</f>
        <v/>
      </c>
      <c r="AP228" s="31" t="str">
        <f aca="false">IF(AN228="","",IFERROR(INDEX(Catalog!$B$5:$B$400,MATCH(AN228,Catalog!$A$5:$A$400,0)),""))</f>
        <v/>
      </c>
      <c r="AQ228" s="31" t="str">
        <f aca="false">IF(AN228="","",IFERROR(INDEX(Catalog!$C$5:$C$400,MATCH(AN228,Catalog!$A$5:$A$400,0)),""))</f>
        <v/>
      </c>
      <c r="AR228" s="31" t="str">
        <f aca="false">IF(AN228="","",IFERROR(INDEX(Catalog!$D$5:$D$400,MATCH(AN228,Catalog!$A$5:$A$400,0)),""))</f>
        <v/>
      </c>
      <c r="AS228" s="31" t="str">
        <f aca="false">IF(AN228="","",IFERROR(INDEX(Catalog!$E$5:$E$400,MATCH(AN228,Catalog!$A$5:$A$400,0)),""))</f>
        <v/>
      </c>
      <c r="AT228" s="44" t="str">
        <f aca="false">IF(AN228="","",IFERROR(INDEX(Catalog!$F$5:$F$400,MATCH(AN228,Catalog!$A$5:$A$400,0)),""))</f>
        <v/>
      </c>
      <c r="AU228" s="31" t="str">
        <f aca="false">IF(AND(B228&lt;&gt;"",ISNUMBER(V228)),V228+ROW()/100000,"")</f>
        <v/>
      </c>
    </row>
    <row r="229" customFormat="false" ht="15" hidden="false" customHeight="false" outlineLevel="0" collapsed="false">
      <c r="A229" s="31" t="str">
        <f aca="false">IF(B229="","",ROW()-5)</f>
        <v/>
      </c>
      <c r="B229" s="32"/>
      <c r="C229" s="32"/>
      <c r="D229" s="32"/>
      <c r="E229" s="32"/>
      <c r="F229" s="32"/>
      <c r="G229" s="32"/>
      <c r="H229" s="33"/>
      <c r="I229" s="33"/>
      <c r="J229" s="32"/>
      <c r="K229" s="33"/>
      <c r="L229" s="32"/>
      <c r="M229" s="34"/>
      <c r="N229" s="34"/>
      <c r="O229" s="35" t="str">
        <f aca="false">IF(OR(M229="",N229="",M229=0),"",N229/M229)</f>
        <v/>
      </c>
      <c r="P229" s="36"/>
      <c r="Q229" s="37"/>
      <c r="R229" s="38" t="str">
        <f aca="false">IF(Q229&lt;&gt;"",Q229,IF(AND(P229&lt;&gt;"",M229&lt;&gt;""),P229*12*M229,""))</f>
        <v/>
      </c>
      <c r="S229" s="32"/>
      <c r="T229" s="32"/>
      <c r="U229" s="39"/>
      <c r="V229" s="39"/>
      <c r="W229" s="34"/>
      <c r="X229" s="32"/>
      <c r="Y229" s="34"/>
      <c r="Z229" s="40" t="str">
        <f aca="false">IF(OR(V229="",Y229=""),"",V229-Y229)</f>
        <v/>
      </c>
      <c r="AA229" s="41" t="str">
        <f aca="true">IF(V229="","",V229-TODAY())</f>
        <v/>
      </c>
      <c r="AB229" s="42" t="str">
        <f aca="false">IF(V229="","",IF(AA229&lt;0,"Past due",IF(AA229&lt;=90,"0–90 days",IF(AA229&lt;=180,"91–180 days",IF(AA229&lt;=365,"181–365 days","Over a year")))))</f>
        <v/>
      </c>
      <c r="AC229" s="43"/>
      <c r="AD229" s="32"/>
      <c r="AE229" s="32"/>
      <c r="AF229" s="33"/>
      <c r="AG229" s="32"/>
      <c r="AH229" s="33"/>
      <c r="AI229" s="32"/>
      <c r="AJ229" s="33"/>
      <c r="AK229" s="32"/>
      <c r="AL229" s="32"/>
      <c r="AM229" s="33"/>
      <c r="AN229" s="31" t="str">
        <f aca="false">IF(B229="","",IFERROR(INDEX(Lookup!$B$2:$B$3000,MATCH(TRIM(B229),Lookup!$A$2:$A$3000,0)),""))</f>
        <v/>
      </c>
      <c r="AO229" s="42" t="str">
        <f aca="false">IF(B229="","",IF(AN229="","No – will be reviewed","Yes"))</f>
        <v/>
      </c>
      <c r="AP229" s="31" t="str">
        <f aca="false">IF(AN229="","",IFERROR(INDEX(Catalog!$B$5:$B$400,MATCH(AN229,Catalog!$A$5:$A$400,0)),""))</f>
        <v/>
      </c>
      <c r="AQ229" s="31" t="str">
        <f aca="false">IF(AN229="","",IFERROR(INDEX(Catalog!$C$5:$C$400,MATCH(AN229,Catalog!$A$5:$A$400,0)),""))</f>
        <v/>
      </c>
      <c r="AR229" s="31" t="str">
        <f aca="false">IF(AN229="","",IFERROR(INDEX(Catalog!$D$5:$D$400,MATCH(AN229,Catalog!$A$5:$A$400,0)),""))</f>
        <v/>
      </c>
      <c r="AS229" s="31" t="str">
        <f aca="false">IF(AN229="","",IFERROR(INDEX(Catalog!$E$5:$E$400,MATCH(AN229,Catalog!$A$5:$A$400,0)),""))</f>
        <v/>
      </c>
      <c r="AT229" s="44" t="str">
        <f aca="false">IF(AN229="","",IFERROR(INDEX(Catalog!$F$5:$F$400,MATCH(AN229,Catalog!$A$5:$A$400,0)),""))</f>
        <v/>
      </c>
      <c r="AU229" s="31" t="str">
        <f aca="false">IF(AND(B229&lt;&gt;"",ISNUMBER(V229)),V229+ROW()/100000,"")</f>
        <v/>
      </c>
    </row>
    <row r="230" customFormat="false" ht="15" hidden="false" customHeight="false" outlineLevel="0" collapsed="false">
      <c r="A230" s="31" t="str">
        <f aca="false">IF(B230="","",ROW()-5)</f>
        <v/>
      </c>
      <c r="B230" s="32"/>
      <c r="C230" s="32"/>
      <c r="D230" s="32"/>
      <c r="E230" s="32"/>
      <c r="F230" s="32"/>
      <c r="G230" s="32"/>
      <c r="H230" s="33"/>
      <c r="I230" s="33"/>
      <c r="J230" s="32"/>
      <c r="K230" s="33"/>
      <c r="L230" s="32"/>
      <c r="M230" s="34"/>
      <c r="N230" s="34"/>
      <c r="O230" s="35" t="str">
        <f aca="false">IF(OR(M230="",N230="",M230=0),"",N230/M230)</f>
        <v/>
      </c>
      <c r="P230" s="36"/>
      <c r="Q230" s="37"/>
      <c r="R230" s="38" t="str">
        <f aca="false">IF(Q230&lt;&gt;"",Q230,IF(AND(P230&lt;&gt;"",M230&lt;&gt;""),P230*12*M230,""))</f>
        <v/>
      </c>
      <c r="S230" s="32"/>
      <c r="T230" s="32"/>
      <c r="U230" s="39"/>
      <c r="V230" s="39"/>
      <c r="W230" s="34"/>
      <c r="X230" s="32"/>
      <c r="Y230" s="34"/>
      <c r="Z230" s="40" t="str">
        <f aca="false">IF(OR(V230="",Y230=""),"",V230-Y230)</f>
        <v/>
      </c>
      <c r="AA230" s="41" t="str">
        <f aca="true">IF(V230="","",V230-TODAY())</f>
        <v/>
      </c>
      <c r="AB230" s="42" t="str">
        <f aca="false">IF(V230="","",IF(AA230&lt;0,"Past due",IF(AA230&lt;=90,"0–90 days",IF(AA230&lt;=180,"91–180 days",IF(AA230&lt;=365,"181–365 days","Over a year")))))</f>
        <v/>
      </c>
      <c r="AC230" s="43"/>
      <c r="AD230" s="32"/>
      <c r="AE230" s="32"/>
      <c r="AF230" s="33"/>
      <c r="AG230" s="32"/>
      <c r="AH230" s="33"/>
      <c r="AI230" s="32"/>
      <c r="AJ230" s="33"/>
      <c r="AK230" s="32"/>
      <c r="AL230" s="32"/>
      <c r="AM230" s="33"/>
      <c r="AN230" s="31" t="str">
        <f aca="false">IF(B230="","",IFERROR(INDEX(Lookup!$B$2:$B$3000,MATCH(TRIM(B230),Lookup!$A$2:$A$3000,0)),""))</f>
        <v/>
      </c>
      <c r="AO230" s="42" t="str">
        <f aca="false">IF(B230="","",IF(AN230="","No – will be reviewed","Yes"))</f>
        <v/>
      </c>
      <c r="AP230" s="31" t="str">
        <f aca="false">IF(AN230="","",IFERROR(INDEX(Catalog!$B$5:$B$400,MATCH(AN230,Catalog!$A$5:$A$400,0)),""))</f>
        <v/>
      </c>
      <c r="AQ230" s="31" t="str">
        <f aca="false">IF(AN230="","",IFERROR(INDEX(Catalog!$C$5:$C$400,MATCH(AN230,Catalog!$A$5:$A$400,0)),""))</f>
        <v/>
      </c>
      <c r="AR230" s="31" t="str">
        <f aca="false">IF(AN230="","",IFERROR(INDEX(Catalog!$D$5:$D$400,MATCH(AN230,Catalog!$A$5:$A$400,0)),""))</f>
        <v/>
      </c>
      <c r="AS230" s="31" t="str">
        <f aca="false">IF(AN230="","",IFERROR(INDEX(Catalog!$E$5:$E$400,MATCH(AN230,Catalog!$A$5:$A$400,0)),""))</f>
        <v/>
      </c>
      <c r="AT230" s="44" t="str">
        <f aca="false">IF(AN230="","",IFERROR(INDEX(Catalog!$F$5:$F$400,MATCH(AN230,Catalog!$A$5:$A$400,0)),""))</f>
        <v/>
      </c>
      <c r="AU230" s="31" t="str">
        <f aca="false">IF(AND(B230&lt;&gt;"",ISNUMBER(V230)),V230+ROW()/100000,"")</f>
        <v/>
      </c>
    </row>
    <row r="231" customFormat="false" ht="15" hidden="false" customHeight="false" outlineLevel="0" collapsed="false">
      <c r="A231" s="31" t="str">
        <f aca="false">IF(B231="","",ROW()-5)</f>
        <v/>
      </c>
      <c r="B231" s="32"/>
      <c r="C231" s="32"/>
      <c r="D231" s="32"/>
      <c r="E231" s="32"/>
      <c r="F231" s="32"/>
      <c r="G231" s="32"/>
      <c r="H231" s="33"/>
      <c r="I231" s="33"/>
      <c r="J231" s="32"/>
      <c r="K231" s="33"/>
      <c r="L231" s="32"/>
      <c r="M231" s="34"/>
      <c r="N231" s="34"/>
      <c r="O231" s="35" t="str">
        <f aca="false">IF(OR(M231="",N231="",M231=0),"",N231/M231)</f>
        <v/>
      </c>
      <c r="P231" s="36"/>
      <c r="Q231" s="37"/>
      <c r="R231" s="38" t="str">
        <f aca="false">IF(Q231&lt;&gt;"",Q231,IF(AND(P231&lt;&gt;"",M231&lt;&gt;""),P231*12*M231,""))</f>
        <v/>
      </c>
      <c r="S231" s="32"/>
      <c r="T231" s="32"/>
      <c r="U231" s="39"/>
      <c r="V231" s="39"/>
      <c r="W231" s="34"/>
      <c r="X231" s="32"/>
      <c r="Y231" s="34"/>
      <c r="Z231" s="40" t="str">
        <f aca="false">IF(OR(V231="",Y231=""),"",V231-Y231)</f>
        <v/>
      </c>
      <c r="AA231" s="41" t="str">
        <f aca="true">IF(V231="","",V231-TODAY())</f>
        <v/>
      </c>
      <c r="AB231" s="42" t="str">
        <f aca="false">IF(V231="","",IF(AA231&lt;0,"Past due",IF(AA231&lt;=90,"0–90 days",IF(AA231&lt;=180,"91–180 days",IF(AA231&lt;=365,"181–365 days","Over a year")))))</f>
        <v/>
      </c>
      <c r="AC231" s="43"/>
      <c r="AD231" s="32"/>
      <c r="AE231" s="32"/>
      <c r="AF231" s="33"/>
      <c r="AG231" s="32"/>
      <c r="AH231" s="33"/>
      <c r="AI231" s="32"/>
      <c r="AJ231" s="33"/>
      <c r="AK231" s="32"/>
      <c r="AL231" s="32"/>
      <c r="AM231" s="33"/>
      <c r="AN231" s="31" t="str">
        <f aca="false">IF(B231="","",IFERROR(INDEX(Lookup!$B$2:$B$3000,MATCH(TRIM(B231),Lookup!$A$2:$A$3000,0)),""))</f>
        <v/>
      </c>
      <c r="AO231" s="42" t="str">
        <f aca="false">IF(B231="","",IF(AN231="","No – will be reviewed","Yes"))</f>
        <v/>
      </c>
      <c r="AP231" s="31" t="str">
        <f aca="false">IF(AN231="","",IFERROR(INDEX(Catalog!$B$5:$B$400,MATCH(AN231,Catalog!$A$5:$A$400,0)),""))</f>
        <v/>
      </c>
      <c r="AQ231" s="31" t="str">
        <f aca="false">IF(AN231="","",IFERROR(INDEX(Catalog!$C$5:$C$400,MATCH(AN231,Catalog!$A$5:$A$400,0)),""))</f>
        <v/>
      </c>
      <c r="AR231" s="31" t="str">
        <f aca="false">IF(AN231="","",IFERROR(INDEX(Catalog!$D$5:$D$400,MATCH(AN231,Catalog!$A$5:$A$400,0)),""))</f>
        <v/>
      </c>
      <c r="AS231" s="31" t="str">
        <f aca="false">IF(AN231="","",IFERROR(INDEX(Catalog!$E$5:$E$400,MATCH(AN231,Catalog!$A$5:$A$400,0)),""))</f>
        <v/>
      </c>
      <c r="AT231" s="44" t="str">
        <f aca="false">IF(AN231="","",IFERROR(INDEX(Catalog!$F$5:$F$400,MATCH(AN231,Catalog!$A$5:$A$400,0)),""))</f>
        <v/>
      </c>
      <c r="AU231" s="31" t="str">
        <f aca="false">IF(AND(B231&lt;&gt;"",ISNUMBER(V231)),V231+ROW()/100000,"")</f>
        <v/>
      </c>
    </row>
    <row r="232" customFormat="false" ht="15" hidden="false" customHeight="false" outlineLevel="0" collapsed="false">
      <c r="A232" s="31" t="str">
        <f aca="false">IF(B232="","",ROW()-5)</f>
        <v/>
      </c>
      <c r="B232" s="32"/>
      <c r="C232" s="32"/>
      <c r="D232" s="32"/>
      <c r="E232" s="32"/>
      <c r="F232" s="32"/>
      <c r="G232" s="32"/>
      <c r="H232" s="33"/>
      <c r="I232" s="33"/>
      <c r="J232" s="32"/>
      <c r="K232" s="33"/>
      <c r="L232" s="32"/>
      <c r="M232" s="34"/>
      <c r="N232" s="34"/>
      <c r="O232" s="35" t="str">
        <f aca="false">IF(OR(M232="",N232="",M232=0),"",N232/M232)</f>
        <v/>
      </c>
      <c r="P232" s="36"/>
      <c r="Q232" s="37"/>
      <c r="R232" s="38" t="str">
        <f aca="false">IF(Q232&lt;&gt;"",Q232,IF(AND(P232&lt;&gt;"",M232&lt;&gt;""),P232*12*M232,""))</f>
        <v/>
      </c>
      <c r="S232" s="32"/>
      <c r="T232" s="32"/>
      <c r="U232" s="39"/>
      <c r="V232" s="39"/>
      <c r="W232" s="34"/>
      <c r="X232" s="32"/>
      <c r="Y232" s="34"/>
      <c r="Z232" s="40" t="str">
        <f aca="false">IF(OR(V232="",Y232=""),"",V232-Y232)</f>
        <v/>
      </c>
      <c r="AA232" s="41" t="str">
        <f aca="true">IF(V232="","",V232-TODAY())</f>
        <v/>
      </c>
      <c r="AB232" s="42" t="str">
        <f aca="false">IF(V232="","",IF(AA232&lt;0,"Past due",IF(AA232&lt;=90,"0–90 days",IF(AA232&lt;=180,"91–180 days",IF(AA232&lt;=365,"181–365 days","Over a year")))))</f>
        <v/>
      </c>
      <c r="AC232" s="43"/>
      <c r="AD232" s="32"/>
      <c r="AE232" s="32"/>
      <c r="AF232" s="33"/>
      <c r="AG232" s="32"/>
      <c r="AH232" s="33"/>
      <c r="AI232" s="32"/>
      <c r="AJ232" s="33"/>
      <c r="AK232" s="32"/>
      <c r="AL232" s="32"/>
      <c r="AM232" s="33"/>
      <c r="AN232" s="31" t="str">
        <f aca="false">IF(B232="","",IFERROR(INDEX(Lookup!$B$2:$B$3000,MATCH(TRIM(B232),Lookup!$A$2:$A$3000,0)),""))</f>
        <v/>
      </c>
      <c r="AO232" s="42" t="str">
        <f aca="false">IF(B232="","",IF(AN232="","No – will be reviewed","Yes"))</f>
        <v/>
      </c>
      <c r="AP232" s="31" t="str">
        <f aca="false">IF(AN232="","",IFERROR(INDEX(Catalog!$B$5:$B$400,MATCH(AN232,Catalog!$A$5:$A$400,0)),""))</f>
        <v/>
      </c>
      <c r="AQ232" s="31" t="str">
        <f aca="false">IF(AN232="","",IFERROR(INDEX(Catalog!$C$5:$C$400,MATCH(AN232,Catalog!$A$5:$A$400,0)),""))</f>
        <v/>
      </c>
      <c r="AR232" s="31" t="str">
        <f aca="false">IF(AN232="","",IFERROR(INDEX(Catalog!$D$5:$D$400,MATCH(AN232,Catalog!$A$5:$A$400,0)),""))</f>
        <v/>
      </c>
      <c r="AS232" s="31" t="str">
        <f aca="false">IF(AN232="","",IFERROR(INDEX(Catalog!$E$5:$E$400,MATCH(AN232,Catalog!$A$5:$A$400,0)),""))</f>
        <v/>
      </c>
      <c r="AT232" s="44" t="str">
        <f aca="false">IF(AN232="","",IFERROR(INDEX(Catalog!$F$5:$F$400,MATCH(AN232,Catalog!$A$5:$A$400,0)),""))</f>
        <v/>
      </c>
      <c r="AU232" s="31" t="str">
        <f aca="false">IF(AND(B232&lt;&gt;"",ISNUMBER(V232)),V232+ROW()/100000,"")</f>
        <v/>
      </c>
    </row>
    <row r="233" customFormat="false" ht="15" hidden="false" customHeight="false" outlineLevel="0" collapsed="false">
      <c r="A233" s="31" t="str">
        <f aca="false">IF(B233="","",ROW()-5)</f>
        <v/>
      </c>
      <c r="B233" s="32"/>
      <c r="C233" s="32"/>
      <c r="D233" s="32"/>
      <c r="E233" s="32"/>
      <c r="F233" s="32"/>
      <c r="G233" s="32"/>
      <c r="H233" s="33"/>
      <c r="I233" s="33"/>
      <c r="J233" s="32"/>
      <c r="K233" s="33"/>
      <c r="L233" s="32"/>
      <c r="M233" s="34"/>
      <c r="N233" s="34"/>
      <c r="O233" s="35" t="str">
        <f aca="false">IF(OR(M233="",N233="",M233=0),"",N233/M233)</f>
        <v/>
      </c>
      <c r="P233" s="36"/>
      <c r="Q233" s="37"/>
      <c r="R233" s="38" t="str">
        <f aca="false">IF(Q233&lt;&gt;"",Q233,IF(AND(P233&lt;&gt;"",M233&lt;&gt;""),P233*12*M233,""))</f>
        <v/>
      </c>
      <c r="S233" s="32"/>
      <c r="T233" s="32"/>
      <c r="U233" s="39"/>
      <c r="V233" s="39"/>
      <c r="W233" s="34"/>
      <c r="X233" s="32"/>
      <c r="Y233" s="34"/>
      <c r="Z233" s="40" t="str">
        <f aca="false">IF(OR(V233="",Y233=""),"",V233-Y233)</f>
        <v/>
      </c>
      <c r="AA233" s="41" t="str">
        <f aca="true">IF(V233="","",V233-TODAY())</f>
        <v/>
      </c>
      <c r="AB233" s="42" t="str">
        <f aca="false">IF(V233="","",IF(AA233&lt;0,"Past due",IF(AA233&lt;=90,"0–90 days",IF(AA233&lt;=180,"91–180 days",IF(AA233&lt;=365,"181–365 days","Over a year")))))</f>
        <v/>
      </c>
      <c r="AC233" s="43"/>
      <c r="AD233" s="32"/>
      <c r="AE233" s="32"/>
      <c r="AF233" s="33"/>
      <c r="AG233" s="32"/>
      <c r="AH233" s="33"/>
      <c r="AI233" s="32"/>
      <c r="AJ233" s="33"/>
      <c r="AK233" s="32"/>
      <c r="AL233" s="32"/>
      <c r="AM233" s="33"/>
      <c r="AN233" s="31" t="str">
        <f aca="false">IF(B233="","",IFERROR(INDEX(Lookup!$B$2:$B$3000,MATCH(TRIM(B233),Lookup!$A$2:$A$3000,0)),""))</f>
        <v/>
      </c>
      <c r="AO233" s="42" t="str">
        <f aca="false">IF(B233="","",IF(AN233="","No – will be reviewed","Yes"))</f>
        <v/>
      </c>
      <c r="AP233" s="31" t="str">
        <f aca="false">IF(AN233="","",IFERROR(INDEX(Catalog!$B$5:$B$400,MATCH(AN233,Catalog!$A$5:$A$400,0)),""))</f>
        <v/>
      </c>
      <c r="AQ233" s="31" t="str">
        <f aca="false">IF(AN233="","",IFERROR(INDEX(Catalog!$C$5:$C$400,MATCH(AN233,Catalog!$A$5:$A$400,0)),""))</f>
        <v/>
      </c>
      <c r="AR233" s="31" t="str">
        <f aca="false">IF(AN233="","",IFERROR(INDEX(Catalog!$D$5:$D$400,MATCH(AN233,Catalog!$A$5:$A$400,0)),""))</f>
        <v/>
      </c>
      <c r="AS233" s="31" t="str">
        <f aca="false">IF(AN233="","",IFERROR(INDEX(Catalog!$E$5:$E$400,MATCH(AN233,Catalog!$A$5:$A$400,0)),""))</f>
        <v/>
      </c>
      <c r="AT233" s="44" t="str">
        <f aca="false">IF(AN233="","",IFERROR(INDEX(Catalog!$F$5:$F$400,MATCH(AN233,Catalog!$A$5:$A$400,0)),""))</f>
        <v/>
      </c>
      <c r="AU233" s="31" t="str">
        <f aca="false">IF(AND(B233&lt;&gt;"",ISNUMBER(V233)),V233+ROW()/100000,"")</f>
        <v/>
      </c>
    </row>
    <row r="234" customFormat="false" ht="15" hidden="false" customHeight="false" outlineLevel="0" collapsed="false">
      <c r="A234" s="31" t="str">
        <f aca="false">IF(B234="","",ROW()-5)</f>
        <v/>
      </c>
      <c r="B234" s="32"/>
      <c r="C234" s="32"/>
      <c r="D234" s="32"/>
      <c r="E234" s="32"/>
      <c r="F234" s="32"/>
      <c r="G234" s="32"/>
      <c r="H234" s="33"/>
      <c r="I234" s="33"/>
      <c r="J234" s="32"/>
      <c r="K234" s="33"/>
      <c r="L234" s="32"/>
      <c r="M234" s="34"/>
      <c r="N234" s="34"/>
      <c r="O234" s="35" t="str">
        <f aca="false">IF(OR(M234="",N234="",M234=0),"",N234/M234)</f>
        <v/>
      </c>
      <c r="P234" s="36"/>
      <c r="Q234" s="37"/>
      <c r="R234" s="38" t="str">
        <f aca="false">IF(Q234&lt;&gt;"",Q234,IF(AND(P234&lt;&gt;"",M234&lt;&gt;""),P234*12*M234,""))</f>
        <v/>
      </c>
      <c r="S234" s="32"/>
      <c r="T234" s="32"/>
      <c r="U234" s="39"/>
      <c r="V234" s="39"/>
      <c r="W234" s="34"/>
      <c r="X234" s="32"/>
      <c r="Y234" s="34"/>
      <c r="Z234" s="40" t="str">
        <f aca="false">IF(OR(V234="",Y234=""),"",V234-Y234)</f>
        <v/>
      </c>
      <c r="AA234" s="41" t="str">
        <f aca="true">IF(V234="","",V234-TODAY())</f>
        <v/>
      </c>
      <c r="AB234" s="42" t="str">
        <f aca="false">IF(V234="","",IF(AA234&lt;0,"Past due",IF(AA234&lt;=90,"0–90 days",IF(AA234&lt;=180,"91–180 days",IF(AA234&lt;=365,"181–365 days","Over a year")))))</f>
        <v/>
      </c>
      <c r="AC234" s="43"/>
      <c r="AD234" s="32"/>
      <c r="AE234" s="32"/>
      <c r="AF234" s="33"/>
      <c r="AG234" s="32"/>
      <c r="AH234" s="33"/>
      <c r="AI234" s="32"/>
      <c r="AJ234" s="33"/>
      <c r="AK234" s="32"/>
      <c r="AL234" s="32"/>
      <c r="AM234" s="33"/>
      <c r="AN234" s="31" t="str">
        <f aca="false">IF(B234="","",IFERROR(INDEX(Lookup!$B$2:$B$3000,MATCH(TRIM(B234),Lookup!$A$2:$A$3000,0)),""))</f>
        <v/>
      </c>
      <c r="AO234" s="42" t="str">
        <f aca="false">IF(B234="","",IF(AN234="","No – will be reviewed","Yes"))</f>
        <v/>
      </c>
      <c r="AP234" s="31" t="str">
        <f aca="false">IF(AN234="","",IFERROR(INDEX(Catalog!$B$5:$B$400,MATCH(AN234,Catalog!$A$5:$A$400,0)),""))</f>
        <v/>
      </c>
      <c r="AQ234" s="31" t="str">
        <f aca="false">IF(AN234="","",IFERROR(INDEX(Catalog!$C$5:$C$400,MATCH(AN234,Catalog!$A$5:$A$400,0)),""))</f>
        <v/>
      </c>
      <c r="AR234" s="31" t="str">
        <f aca="false">IF(AN234="","",IFERROR(INDEX(Catalog!$D$5:$D$400,MATCH(AN234,Catalog!$A$5:$A$400,0)),""))</f>
        <v/>
      </c>
      <c r="AS234" s="31" t="str">
        <f aca="false">IF(AN234="","",IFERROR(INDEX(Catalog!$E$5:$E$400,MATCH(AN234,Catalog!$A$5:$A$400,0)),""))</f>
        <v/>
      </c>
      <c r="AT234" s="44" t="str">
        <f aca="false">IF(AN234="","",IFERROR(INDEX(Catalog!$F$5:$F$400,MATCH(AN234,Catalog!$A$5:$A$400,0)),""))</f>
        <v/>
      </c>
      <c r="AU234" s="31" t="str">
        <f aca="false">IF(AND(B234&lt;&gt;"",ISNUMBER(V234)),V234+ROW()/100000,"")</f>
        <v/>
      </c>
    </row>
    <row r="235" customFormat="false" ht="15" hidden="false" customHeight="false" outlineLevel="0" collapsed="false">
      <c r="A235" s="31" t="str">
        <f aca="false">IF(B235="","",ROW()-5)</f>
        <v/>
      </c>
      <c r="B235" s="32"/>
      <c r="C235" s="32"/>
      <c r="D235" s="32"/>
      <c r="E235" s="32"/>
      <c r="F235" s="32"/>
      <c r="G235" s="32"/>
      <c r="H235" s="33"/>
      <c r="I235" s="33"/>
      <c r="J235" s="32"/>
      <c r="K235" s="33"/>
      <c r="L235" s="32"/>
      <c r="M235" s="34"/>
      <c r="N235" s="34"/>
      <c r="O235" s="35" t="str">
        <f aca="false">IF(OR(M235="",N235="",M235=0),"",N235/M235)</f>
        <v/>
      </c>
      <c r="P235" s="36"/>
      <c r="Q235" s="37"/>
      <c r="R235" s="38" t="str">
        <f aca="false">IF(Q235&lt;&gt;"",Q235,IF(AND(P235&lt;&gt;"",M235&lt;&gt;""),P235*12*M235,""))</f>
        <v/>
      </c>
      <c r="S235" s="32"/>
      <c r="T235" s="32"/>
      <c r="U235" s="39"/>
      <c r="V235" s="39"/>
      <c r="W235" s="34"/>
      <c r="X235" s="32"/>
      <c r="Y235" s="34"/>
      <c r="Z235" s="40" t="str">
        <f aca="false">IF(OR(V235="",Y235=""),"",V235-Y235)</f>
        <v/>
      </c>
      <c r="AA235" s="41" t="str">
        <f aca="true">IF(V235="","",V235-TODAY())</f>
        <v/>
      </c>
      <c r="AB235" s="42" t="str">
        <f aca="false">IF(V235="","",IF(AA235&lt;0,"Past due",IF(AA235&lt;=90,"0–90 days",IF(AA235&lt;=180,"91–180 days",IF(AA235&lt;=365,"181–365 days","Over a year")))))</f>
        <v/>
      </c>
      <c r="AC235" s="43"/>
      <c r="AD235" s="32"/>
      <c r="AE235" s="32"/>
      <c r="AF235" s="33"/>
      <c r="AG235" s="32"/>
      <c r="AH235" s="33"/>
      <c r="AI235" s="32"/>
      <c r="AJ235" s="33"/>
      <c r="AK235" s="32"/>
      <c r="AL235" s="32"/>
      <c r="AM235" s="33"/>
      <c r="AN235" s="31" t="str">
        <f aca="false">IF(B235="","",IFERROR(INDEX(Lookup!$B$2:$B$3000,MATCH(TRIM(B235),Lookup!$A$2:$A$3000,0)),""))</f>
        <v/>
      </c>
      <c r="AO235" s="42" t="str">
        <f aca="false">IF(B235="","",IF(AN235="","No – will be reviewed","Yes"))</f>
        <v/>
      </c>
      <c r="AP235" s="31" t="str">
        <f aca="false">IF(AN235="","",IFERROR(INDEX(Catalog!$B$5:$B$400,MATCH(AN235,Catalog!$A$5:$A$400,0)),""))</f>
        <v/>
      </c>
      <c r="AQ235" s="31" t="str">
        <f aca="false">IF(AN235="","",IFERROR(INDEX(Catalog!$C$5:$C$400,MATCH(AN235,Catalog!$A$5:$A$400,0)),""))</f>
        <v/>
      </c>
      <c r="AR235" s="31" t="str">
        <f aca="false">IF(AN235="","",IFERROR(INDEX(Catalog!$D$5:$D$400,MATCH(AN235,Catalog!$A$5:$A$400,0)),""))</f>
        <v/>
      </c>
      <c r="AS235" s="31" t="str">
        <f aca="false">IF(AN235="","",IFERROR(INDEX(Catalog!$E$5:$E$400,MATCH(AN235,Catalog!$A$5:$A$400,0)),""))</f>
        <v/>
      </c>
      <c r="AT235" s="44" t="str">
        <f aca="false">IF(AN235="","",IFERROR(INDEX(Catalog!$F$5:$F$400,MATCH(AN235,Catalog!$A$5:$A$400,0)),""))</f>
        <v/>
      </c>
      <c r="AU235" s="31" t="str">
        <f aca="false">IF(AND(B235&lt;&gt;"",ISNUMBER(V235)),V235+ROW()/100000,"")</f>
        <v/>
      </c>
    </row>
    <row r="236" customFormat="false" ht="15" hidden="false" customHeight="false" outlineLevel="0" collapsed="false">
      <c r="A236" s="31" t="str">
        <f aca="false">IF(B236="","",ROW()-5)</f>
        <v/>
      </c>
      <c r="B236" s="32"/>
      <c r="C236" s="32"/>
      <c r="D236" s="32"/>
      <c r="E236" s="32"/>
      <c r="F236" s="32"/>
      <c r="G236" s="32"/>
      <c r="H236" s="33"/>
      <c r="I236" s="33"/>
      <c r="J236" s="32"/>
      <c r="K236" s="33"/>
      <c r="L236" s="32"/>
      <c r="M236" s="34"/>
      <c r="N236" s="34"/>
      <c r="O236" s="35" t="str">
        <f aca="false">IF(OR(M236="",N236="",M236=0),"",N236/M236)</f>
        <v/>
      </c>
      <c r="P236" s="36"/>
      <c r="Q236" s="37"/>
      <c r="R236" s="38" t="str">
        <f aca="false">IF(Q236&lt;&gt;"",Q236,IF(AND(P236&lt;&gt;"",M236&lt;&gt;""),P236*12*M236,""))</f>
        <v/>
      </c>
      <c r="S236" s="32"/>
      <c r="T236" s="32"/>
      <c r="U236" s="39"/>
      <c r="V236" s="39"/>
      <c r="W236" s="34"/>
      <c r="X236" s="32"/>
      <c r="Y236" s="34"/>
      <c r="Z236" s="40" t="str">
        <f aca="false">IF(OR(V236="",Y236=""),"",V236-Y236)</f>
        <v/>
      </c>
      <c r="AA236" s="41" t="str">
        <f aca="true">IF(V236="","",V236-TODAY())</f>
        <v/>
      </c>
      <c r="AB236" s="42" t="str">
        <f aca="false">IF(V236="","",IF(AA236&lt;0,"Past due",IF(AA236&lt;=90,"0–90 days",IF(AA236&lt;=180,"91–180 days",IF(AA236&lt;=365,"181–365 days","Over a year")))))</f>
        <v/>
      </c>
      <c r="AC236" s="43"/>
      <c r="AD236" s="32"/>
      <c r="AE236" s="32"/>
      <c r="AF236" s="33"/>
      <c r="AG236" s="32"/>
      <c r="AH236" s="33"/>
      <c r="AI236" s="32"/>
      <c r="AJ236" s="33"/>
      <c r="AK236" s="32"/>
      <c r="AL236" s="32"/>
      <c r="AM236" s="33"/>
      <c r="AN236" s="31" t="str">
        <f aca="false">IF(B236="","",IFERROR(INDEX(Lookup!$B$2:$B$3000,MATCH(TRIM(B236),Lookup!$A$2:$A$3000,0)),""))</f>
        <v/>
      </c>
      <c r="AO236" s="42" t="str">
        <f aca="false">IF(B236="","",IF(AN236="","No – will be reviewed","Yes"))</f>
        <v/>
      </c>
      <c r="AP236" s="31" t="str">
        <f aca="false">IF(AN236="","",IFERROR(INDEX(Catalog!$B$5:$B$400,MATCH(AN236,Catalog!$A$5:$A$400,0)),""))</f>
        <v/>
      </c>
      <c r="AQ236" s="31" t="str">
        <f aca="false">IF(AN236="","",IFERROR(INDEX(Catalog!$C$5:$C$400,MATCH(AN236,Catalog!$A$5:$A$400,0)),""))</f>
        <v/>
      </c>
      <c r="AR236" s="31" t="str">
        <f aca="false">IF(AN236="","",IFERROR(INDEX(Catalog!$D$5:$D$400,MATCH(AN236,Catalog!$A$5:$A$400,0)),""))</f>
        <v/>
      </c>
      <c r="AS236" s="31" t="str">
        <f aca="false">IF(AN236="","",IFERROR(INDEX(Catalog!$E$5:$E$400,MATCH(AN236,Catalog!$A$5:$A$400,0)),""))</f>
        <v/>
      </c>
      <c r="AT236" s="44" t="str">
        <f aca="false">IF(AN236="","",IFERROR(INDEX(Catalog!$F$5:$F$400,MATCH(AN236,Catalog!$A$5:$A$400,0)),""))</f>
        <v/>
      </c>
      <c r="AU236" s="31" t="str">
        <f aca="false">IF(AND(B236&lt;&gt;"",ISNUMBER(V236)),V236+ROW()/100000,"")</f>
        <v/>
      </c>
    </row>
    <row r="237" customFormat="false" ht="15" hidden="false" customHeight="false" outlineLevel="0" collapsed="false">
      <c r="A237" s="31" t="str">
        <f aca="false">IF(B237="","",ROW()-5)</f>
        <v/>
      </c>
      <c r="B237" s="32"/>
      <c r="C237" s="32"/>
      <c r="D237" s="32"/>
      <c r="E237" s="32"/>
      <c r="F237" s="32"/>
      <c r="G237" s="32"/>
      <c r="H237" s="33"/>
      <c r="I237" s="33"/>
      <c r="J237" s="32"/>
      <c r="K237" s="33"/>
      <c r="L237" s="32"/>
      <c r="M237" s="34"/>
      <c r="N237" s="34"/>
      <c r="O237" s="35" t="str">
        <f aca="false">IF(OR(M237="",N237="",M237=0),"",N237/M237)</f>
        <v/>
      </c>
      <c r="P237" s="36"/>
      <c r="Q237" s="37"/>
      <c r="R237" s="38" t="str">
        <f aca="false">IF(Q237&lt;&gt;"",Q237,IF(AND(P237&lt;&gt;"",M237&lt;&gt;""),P237*12*M237,""))</f>
        <v/>
      </c>
      <c r="S237" s="32"/>
      <c r="T237" s="32"/>
      <c r="U237" s="39"/>
      <c r="V237" s="39"/>
      <c r="W237" s="34"/>
      <c r="X237" s="32"/>
      <c r="Y237" s="34"/>
      <c r="Z237" s="40" t="str">
        <f aca="false">IF(OR(V237="",Y237=""),"",V237-Y237)</f>
        <v/>
      </c>
      <c r="AA237" s="41" t="str">
        <f aca="true">IF(V237="","",V237-TODAY())</f>
        <v/>
      </c>
      <c r="AB237" s="42" t="str">
        <f aca="false">IF(V237="","",IF(AA237&lt;0,"Past due",IF(AA237&lt;=90,"0–90 days",IF(AA237&lt;=180,"91–180 days",IF(AA237&lt;=365,"181–365 days","Over a year")))))</f>
        <v/>
      </c>
      <c r="AC237" s="43"/>
      <c r="AD237" s="32"/>
      <c r="AE237" s="32"/>
      <c r="AF237" s="33"/>
      <c r="AG237" s="32"/>
      <c r="AH237" s="33"/>
      <c r="AI237" s="32"/>
      <c r="AJ237" s="33"/>
      <c r="AK237" s="32"/>
      <c r="AL237" s="32"/>
      <c r="AM237" s="33"/>
      <c r="AN237" s="31" t="str">
        <f aca="false">IF(B237="","",IFERROR(INDEX(Lookup!$B$2:$B$3000,MATCH(TRIM(B237),Lookup!$A$2:$A$3000,0)),""))</f>
        <v/>
      </c>
      <c r="AO237" s="42" t="str">
        <f aca="false">IF(B237="","",IF(AN237="","No – will be reviewed","Yes"))</f>
        <v/>
      </c>
      <c r="AP237" s="31" t="str">
        <f aca="false">IF(AN237="","",IFERROR(INDEX(Catalog!$B$5:$B$400,MATCH(AN237,Catalog!$A$5:$A$400,0)),""))</f>
        <v/>
      </c>
      <c r="AQ237" s="31" t="str">
        <f aca="false">IF(AN237="","",IFERROR(INDEX(Catalog!$C$5:$C$400,MATCH(AN237,Catalog!$A$5:$A$400,0)),""))</f>
        <v/>
      </c>
      <c r="AR237" s="31" t="str">
        <f aca="false">IF(AN237="","",IFERROR(INDEX(Catalog!$D$5:$D$400,MATCH(AN237,Catalog!$A$5:$A$400,0)),""))</f>
        <v/>
      </c>
      <c r="AS237" s="31" t="str">
        <f aca="false">IF(AN237="","",IFERROR(INDEX(Catalog!$E$5:$E$400,MATCH(AN237,Catalog!$A$5:$A$400,0)),""))</f>
        <v/>
      </c>
      <c r="AT237" s="44" t="str">
        <f aca="false">IF(AN237="","",IFERROR(INDEX(Catalog!$F$5:$F$400,MATCH(AN237,Catalog!$A$5:$A$400,0)),""))</f>
        <v/>
      </c>
      <c r="AU237" s="31" t="str">
        <f aca="false">IF(AND(B237&lt;&gt;"",ISNUMBER(V237)),V237+ROW()/100000,"")</f>
        <v/>
      </c>
    </row>
    <row r="238" customFormat="false" ht="15" hidden="false" customHeight="false" outlineLevel="0" collapsed="false">
      <c r="A238" s="31" t="str">
        <f aca="false">IF(B238="","",ROW()-5)</f>
        <v/>
      </c>
      <c r="B238" s="32"/>
      <c r="C238" s="32"/>
      <c r="D238" s="32"/>
      <c r="E238" s="32"/>
      <c r="F238" s="32"/>
      <c r="G238" s="32"/>
      <c r="H238" s="33"/>
      <c r="I238" s="33"/>
      <c r="J238" s="32"/>
      <c r="K238" s="33"/>
      <c r="L238" s="32"/>
      <c r="M238" s="34"/>
      <c r="N238" s="34"/>
      <c r="O238" s="35" t="str">
        <f aca="false">IF(OR(M238="",N238="",M238=0),"",N238/M238)</f>
        <v/>
      </c>
      <c r="P238" s="36"/>
      <c r="Q238" s="37"/>
      <c r="R238" s="38" t="str">
        <f aca="false">IF(Q238&lt;&gt;"",Q238,IF(AND(P238&lt;&gt;"",M238&lt;&gt;""),P238*12*M238,""))</f>
        <v/>
      </c>
      <c r="S238" s="32"/>
      <c r="T238" s="32"/>
      <c r="U238" s="39"/>
      <c r="V238" s="39"/>
      <c r="W238" s="34"/>
      <c r="X238" s="32"/>
      <c r="Y238" s="34"/>
      <c r="Z238" s="40" t="str">
        <f aca="false">IF(OR(V238="",Y238=""),"",V238-Y238)</f>
        <v/>
      </c>
      <c r="AA238" s="41" t="str">
        <f aca="true">IF(V238="","",V238-TODAY())</f>
        <v/>
      </c>
      <c r="AB238" s="42" t="str">
        <f aca="false">IF(V238="","",IF(AA238&lt;0,"Past due",IF(AA238&lt;=90,"0–90 days",IF(AA238&lt;=180,"91–180 days",IF(AA238&lt;=365,"181–365 days","Over a year")))))</f>
        <v/>
      </c>
      <c r="AC238" s="43"/>
      <c r="AD238" s="32"/>
      <c r="AE238" s="32"/>
      <c r="AF238" s="33"/>
      <c r="AG238" s="32"/>
      <c r="AH238" s="33"/>
      <c r="AI238" s="32"/>
      <c r="AJ238" s="33"/>
      <c r="AK238" s="32"/>
      <c r="AL238" s="32"/>
      <c r="AM238" s="33"/>
      <c r="AN238" s="31" t="str">
        <f aca="false">IF(B238="","",IFERROR(INDEX(Lookup!$B$2:$B$3000,MATCH(TRIM(B238),Lookup!$A$2:$A$3000,0)),""))</f>
        <v/>
      </c>
      <c r="AO238" s="42" t="str">
        <f aca="false">IF(B238="","",IF(AN238="","No – will be reviewed","Yes"))</f>
        <v/>
      </c>
      <c r="AP238" s="31" t="str">
        <f aca="false">IF(AN238="","",IFERROR(INDEX(Catalog!$B$5:$B$400,MATCH(AN238,Catalog!$A$5:$A$400,0)),""))</f>
        <v/>
      </c>
      <c r="AQ238" s="31" t="str">
        <f aca="false">IF(AN238="","",IFERROR(INDEX(Catalog!$C$5:$C$400,MATCH(AN238,Catalog!$A$5:$A$400,0)),""))</f>
        <v/>
      </c>
      <c r="AR238" s="31" t="str">
        <f aca="false">IF(AN238="","",IFERROR(INDEX(Catalog!$D$5:$D$400,MATCH(AN238,Catalog!$A$5:$A$400,0)),""))</f>
        <v/>
      </c>
      <c r="AS238" s="31" t="str">
        <f aca="false">IF(AN238="","",IFERROR(INDEX(Catalog!$E$5:$E$400,MATCH(AN238,Catalog!$A$5:$A$400,0)),""))</f>
        <v/>
      </c>
      <c r="AT238" s="44" t="str">
        <f aca="false">IF(AN238="","",IFERROR(INDEX(Catalog!$F$5:$F$400,MATCH(AN238,Catalog!$A$5:$A$400,0)),""))</f>
        <v/>
      </c>
      <c r="AU238" s="31" t="str">
        <f aca="false">IF(AND(B238&lt;&gt;"",ISNUMBER(V238)),V238+ROW()/100000,"")</f>
        <v/>
      </c>
    </row>
    <row r="239" customFormat="false" ht="15" hidden="false" customHeight="false" outlineLevel="0" collapsed="false">
      <c r="A239" s="31" t="str">
        <f aca="false">IF(B239="","",ROW()-5)</f>
        <v/>
      </c>
      <c r="B239" s="32"/>
      <c r="C239" s="32"/>
      <c r="D239" s="32"/>
      <c r="E239" s="32"/>
      <c r="F239" s="32"/>
      <c r="G239" s="32"/>
      <c r="H239" s="33"/>
      <c r="I239" s="33"/>
      <c r="J239" s="32"/>
      <c r="K239" s="33"/>
      <c r="L239" s="32"/>
      <c r="M239" s="34"/>
      <c r="N239" s="34"/>
      <c r="O239" s="35" t="str">
        <f aca="false">IF(OR(M239="",N239="",M239=0),"",N239/M239)</f>
        <v/>
      </c>
      <c r="P239" s="36"/>
      <c r="Q239" s="37"/>
      <c r="R239" s="38" t="str">
        <f aca="false">IF(Q239&lt;&gt;"",Q239,IF(AND(P239&lt;&gt;"",M239&lt;&gt;""),P239*12*M239,""))</f>
        <v/>
      </c>
      <c r="S239" s="32"/>
      <c r="T239" s="32"/>
      <c r="U239" s="39"/>
      <c r="V239" s="39"/>
      <c r="W239" s="34"/>
      <c r="X239" s="32"/>
      <c r="Y239" s="34"/>
      <c r="Z239" s="40" t="str">
        <f aca="false">IF(OR(V239="",Y239=""),"",V239-Y239)</f>
        <v/>
      </c>
      <c r="AA239" s="41" t="str">
        <f aca="true">IF(V239="","",V239-TODAY())</f>
        <v/>
      </c>
      <c r="AB239" s="42" t="str">
        <f aca="false">IF(V239="","",IF(AA239&lt;0,"Past due",IF(AA239&lt;=90,"0–90 days",IF(AA239&lt;=180,"91–180 days",IF(AA239&lt;=365,"181–365 days","Over a year")))))</f>
        <v/>
      </c>
      <c r="AC239" s="43"/>
      <c r="AD239" s="32"/>
      <c r="AE239" s="32"/>
      <c r="AF239" s="33"/>
      <c r="AG239" s="32"/>
      <c r="AH239" s="33"/>
      <c r="AI239" s="32"/>
      <c r="AJ239" s="33"/>
      <c r="AK239" s="32"/>
      <c r="AL239" s="32"/>
      <c r="AM239" s="33"/>
      <c r="AN239" s="31" t="str">
        <f aca="false">IF(B239="","",IFERROR(INDEX(Lookup!$B$2:$B$3000,MATCH(TRIM(B239),Lookup!$A$2:$A$3000,0)),""))</f>
        <v/>
      </c>
      <c r="AO239" s="42" t="str">
        <f aca="false">IF(B239="","",IF(AN239="","No – will be reviewed","Yes"))</f>
        <v/>
      </c>
      <c r="AP239" s="31" t="str">
        <f aca="false">IF(AN239="","",IFERROR(INDEX(Catalog!$B$5:$B$400,MATCH(AN239,Catalog!$A$5:$A$400,0)),""))</f>
        <v/>
      </c>
      <c r="AQ239" s="31" t="str">
        <f aca="false">IF(AN239="","",IFERROR(INDEX(Catalog!$C$5:$C$400,MATCH(AN239,Catalog!$A$5:$A$400,0)),""))</f>
        <v/>
      </c>
      <c r="AR239" s="31" t="str">
        <f aca="false">IF(AN239="","",IFERROR(INDEX(Catalog!$D$5:$D$400,MATCH(AN239,Catalog!$A$5:$A$400,0)),""))</f>
        <v/>
      </c>
      <c r="AS239" s="31" t="str">
        <f aca="false">IF(AN239="","",IFERROR(INDEX(Catalog!$E$5:$E$400,MATCH(AN239,Catalog!$A$5:$A$400,0)),""))</f>
        <v/>
      </c>
      <c r="AT239" s="44" t="str">
        <f aca="false">IF(AN239="","",IFERROR(INDEX(Catalog!$F$5:$F$400,MATCH(AN239,Catalog!$A$5:$A$400,0)),""))</f>
        <v/>
      </c>
      <c r="AU239" s="31" t="str">
        <f aca="false">IF(AND(B239&lt;&gt;"",ISNUMBER(V239)),V239+ROW()/100000,"")</f>
        <v/>
      </c>
    </row>
    <row r="240" customFormat="false" ht="15" hidden="false" customHeight="false" outlineLevel="0" collapsed="false">
      <c r="A240" s="31" t="str">
        <f aca="false">IF(B240="","",ROW()-5)</f>
        <v/>
      </c>
      <c r="B240" s="32"/>
      <c r="C240" s="32"/>
      <c r="D240" s="32"/>
      <c r="E240" s="32"/>
      <c r="F240" s="32"/>
      <c r="G240" s="32"/>
      <c r="H240" s="33"/>
      <c r="I240" s="33"/>
      <c r="J240" s="32"/>
      <c r="K240" s="33"/>
      <c r="L240" s="32"/>
      <c r="M240" s="34"/>
      <c r="N240" s="34"/>
      <c r="O240" s="35" t="str">
        <f aca="false">IF(OR(M240="",N240="",M240=0),"",N240/M240)</f>
        <v/>
      </c>
      <c r="P240" s="36"/>
      <c r="Q240" s="37"/>
      <c r="R240" s="38" t="str">
        <f aca="false">IF(Q240&lt;&gt;"",Q240,IF(AND(P240&lt;&gt;"",M240&lt;&gt;""),P240*12*M240,""))</f>
        <v/>
      </c>
      <c r="S240" s="32"/>
      <c r="T240" s="32"/>
      <c r="U240" s="39"/>
      <c r="V240" s="39"/>
      <c r="W240" s="34"/>
      <c r="X240" s="32"/>
      <c r="Y240" s="34"/>
      <c r="Z240" s="40" t="str">
        <f aca="false">IF(OR(V240="",Y240=""),"",V240-Y240)</f>
        <v/>
      </c>
      <c r="AA240" s="41" t="str">
        <f aca="true">IF(V240="","",V240-TODAY())</f>
        <v/>
      </c>
      <c r="AB240" s="42" t="str">
        <f aca="false">IF(V240="","",IF(AA240&lt;0,"Past due",IF(AA240&lt;=90,"0–90 days",IF(AA240&lt;=180,"91–180 days",IF(AA240&lt;=365,"181–365 days","Over a year")))))</f>
        <v/>
      </c>
      <c r="AC240" s="43"/>
      <c r="AD240" s="32"/>
      <c r="AE240" s="32"/>
      <c r="AF240" s="33"/>
      <c r="AG240" s="32"/>
      <c r="AH240" s="33"/>
      <c r="AI240" s="32"/>
      <c r="AJ240" s="33"/>
      <c r="AK240" s="32"/>
      <c r="AL240" s="32"/>
      <c r="AM240" s="33"/>
      <c r="AN240" s="31" t="str">
        <f aca="false">IF(B240="","",IFERROR(INDEX(Lookup!$B$2:$B$3000,MATCH(TRIM(B240),Lookup!$A$2:$A$3000,0)),""))</f>
        <v/>
      </c>
      <c r="AO240" s="42" t="str">
        <f aca="false">IF(B240="","",IF(AN240="","No – will be reviewed","Yes"))</f>
        <v/>
      </c>
      <c r="AP240" s="31" t="str">
        <f aca="false">IF(AN240="","",IFERROR(INDEX(Catalog!$B$5:$B$400,MATCH(AN240,Catalog!$A$5:$A$400,0)),""))</f>
        <v/>
      </c>
      <c r="AQ240" s="31" t="str">
        <f aca="false">IF(AN240="","",IFERROR(INDEX(Catalog!$C$5:$C$400,MATCH(AN240,Catalog!$A$5:$A$400,0)),""))</f>
        <v/>
      </c>
      <c r="AR240" s="31" t="str">
        <f aca="false">IF(AN240="","",IFERROR(INDEX(Catalog!$D$5:$D$400,MATCH(AN240,Catalog!$A$5:$A$400,0)),""))</f>
        <v/>
      </c>
      <c r="AS240" s="31" t="str">
        <f aca="false">IF(AN240="","",IFERROR(INDEX(Catalog!$E$5:$E$400,MATCH(AN240,Catalog!$A$5:$A$400,0)),""))</f>
        <v/>
      </c>
      <c r="AT240" s="44" t="str">
        <f aca="false">IF(AN240="","",IFERROR(INDEX(Catalog!$F$5:$F$400,MATCH(AN240,Catalog!$A$5:$A$400,0)),""))</f>
        <v/>
      </c>
      <c r="AU240" s="31" t="str">
        <f aca="false">IF(AND(B240&lt;&gt;"",ISNUMBER(V240)),V240+ROW()/100000,"")</f>
        <v/>
      </c>
    </row>
    <row r="241" customFormat="false" ht="15" hidden="false" customHeight="false" outlineLevel="0" collapsed="false">
      <c r="A241" s="31" t="str">
        <f aca="false">IF(B241="","",ROW()-5)</f>
        <v/>
      </c>
      <c r="B241" s="32"/>
      <c r="C241" s="32"/>
      <c r="D241" s="32"/>
      <c r="E241" s="32"/>
      <c r="F241" s="32"/>
      <c r="G241" s="32"/>
      <c r="H241" s="33"/>
      <c r="I241" s="33"/>
      <c r="J241" s="32"/>
      <c r="K241" s="33"/>
      <c r="L241" s="32"/>
      <c r="M241" s="34"/>
      <c r="N241" s="34"/>
      <c r="O241" s="35" t="str">
        <f aca="false">IF(OR(M241="",N241="",M241=0),"",N241/M241)</f>
        <v/>
      </c>
      <c r="P241" s="36"/>
      <c r="Q241" s="37"/>
      <c r="R241" s="38" t="str">
        <f aca="false">IF(Q241&lt;&gt;"",Q241,IF(AND(P241&lt;&gt;"",M241&lt;&gt;""),P241*12*M241,""))</f>
        <v/>
      </c>
      <c r="S241" s="32"/>
      <c r="T241" s="32"/>
      <c r="U241" s="39"/>
      <c r="V241" s="39"/>
      <c r="W241" s="34"/>
      <c r="X241" s="32"/>
      <c r="Y241" s="34"/>
      <c r="Z241" s="40" t="str">
        <f aca="false">IF(OR(V241="",Y241=""),"",V241-Y241)</f>
        <v/>
      </c>
      <c r="AA241" s="41" t="str">
        <f aca="true">IF(V241="","",V241-TODAY())</f>
        <v/>
      </c>
      <c r="AB241" s="42" t="str">
        <f aca="false">IF(V241="","",IF(AA241&lt;0,"Past due",IF(AA241&lt;=90,"0–90 days",IF(AA241&lt;=180,"91–180 days",IF(AA241&lt;=365,"181–365 days","Over a year")))))</f>
        <v/>
      </c>
      <c r="AC241" s="43"/>
      <c r="AD241" s="32"/>
      <c r="AE241" s="32"/>
      <c r="AF241" s="33"/>
      <c r="AG241" s="32"/>
      <c r="AH241" s="33"/>
      <c r="AI241" s="32"/>
      <c r="AJ241" s="33"/>
      <c r="AK241" s="32"/>
      <c r="AL241" s="32"/>
      <c r="AM241" s="33"/>
      <c r="AN241" s="31" t="str">
        <f aca="false">IF(B241="","",IFERROR(INDEX(Lookup!$B$2:$B$3000,MATCH(TRIM(B241),Lookup!$A$2:$A$3000,0)),""))</f>
        <v/>
      </c>
      <c r="AO241" s="42" t="str">
        <f aca="false">IF(B241="","",IF(AN241="","No – will be reviewed","Yes"))</f>
        <v/>
      </c>
      <c r="AP241" s="31" t="str">
        <f aca="false">IF(AN241="","",IFERROR(INDEX(Catalog!$B$5:$B$400,MATCH(AN241,Catalog!$A$5:$A$400,0)),""))</f>
        <v/>
      </c>
      <c r="AQ241" s="31" t="str">
        <f aca="false">IF(AN241="","",IFERROR(INDEX(Catalog!$C$5:$C$400,MATCH(AN241,Catalog!$A$5:$A$400,0)),""))</f>
        <v/>
      </c>
      <c r="AR241" s="31" t="str">
        <f aca="false">IF(AN241="","",IFERROR(INDEX(Catalog!$D$5:$D$400,MATCH(AN241,Catalog!$A$5:$A$400,0)),""))</f>
        <v/>
      </c>
      <c r="AS241" s="31" t="str">
        <f aca="false">IF(AN241="","",IFERROR(INDEX(Catalog!$E$5:$E$400,MATCH(AN241,Catalog!$A$5:$A$400,0)),""))</f>
        <v/>
      </c>
      <c r="AT241" s="44" t="str">
        <f aca="false">IF(AN241="","",IFERROR(INDEX(Catalog!$F$5:$F$400,MATCH(AN241,Catalog!$A$5:$A$400,0)),""))</f>
        <v/>
      </c>
      <c r="AU241" s="31" t="str">
        <f aca="false">IF(AND(B241&lt;&gt;"",ISNUMBER(V241)),V241+ROW()/100000,"")</f>
        <v/>
      </c>
    </row>
    <row r="242" customFormat="false" ht="15" hidden="false" customHeight="false" outlineLevel="0" collapsed="false">
      <c r="A242" s="31" t="str">
        <f aca="false">IF(B242="","",ROW()-5)</f>
        <v/>
      </c>
      <c r="B242" s="32"/>
      <c r="C242" s="32"/>
      <c r="D242" s="32"/>
      <c r="E242" s="32"/>
      <c r="F242" s="32"/>
      <c r="G242" s="32"/>
      <c r="H242" s="33"/>
      <c r="I242" s="33"/>
      <c r="J242" s="32"/>
      <c r="K242" s="33"/>
      <c r="L242" s="32"/>
      <c r="M242" s="34"/>
      <c r="N242" s="34"/>
      <c r="O242" s="35" t="str">
        <f aca="false">IF(OR(M242="",N242="",M242=0),"",N242/M242)</f>
        <v/>
      </c>
      <c r="P242" s="36"/>
      <c r="Q242" s="37"/>
      <c r="R242" s="38" t="str">
        <f aca="false">IF(Q242&lt;&gt;"",Q242,IF(AND(P242&lt;&gt;"",M242&lt;&gt;""),P242*12*M242,""))</f>
        <v/>
      </c>
      <c r="S242" s="32"/>
      <c r="T242" s="32"/>
      <c r="U242" s="39"/>
      <c r="V242" s="39"/>
      <c r="W242" s="34"/>
      <c r="X242" s="32"/>
      <c r="Y242" s="34"/>
      <c r="Z242" s="40" t="str">
        <f aca="false">IF(OR(V242="",Y242=""),"",V242-Y242)</f>
        <v/>
      </c>
      <c r="AA242" s="41" t="str">
        <f aca="true">IF(V242="","",V242-TODAY())</f>
        <v/>
      </c>
      <c r="AB242" s="42" t="str">
        <f aca="false">IF(V242="","",IF(AA242&lt;0,"Past due",IF(AA242&lt;=90,"0–90 days",IF(AA242&lt;=180,"91–180 days",IF(AA242&lt;=365,"181–365 days","Over a year")))))</f>
        <v/>
      </c>
      <c r="AC242" s="43"/>
      <c r="AD242" s="32"/>
      <c r="AE242" s="32"/>
      <c r="AF242" s="33"/>
      <c r="AG242" s="32"/>
      <c r="AH242" s="33"/>
      <c r="AI242" s="32"/>
      <c r="AJ242" s="33"/>
      <c r="AK242" s="32"/>
      <c r="AL242" s="32"/>
      <c r="AM242" s="33"/>
      <c r="AN242" s="31" t="str">
        <f aca="false">IF(B242="","",IFERROR(INDEX(Lookup!$B$2:$B$3000,MATCH(TRIM(B242),Lookup!$A$2:$A$3000,0)),""))</f>
        <v/>
      </c>
      <c r="AO242" s="42" t="str">
        <f aca="false">IF(B242="","",IF(AN242="","No – will be reviewed","Yes"))</f>
        <v/>
      </c>
      <c r="AP242" s="31" t="str">
        <f aca="false">IF(AN242="","",IFERROR(INDEX(Catalog!$B$5:$B$400,MATCH(AN242,Catalog!$A$5:$A$400,0)),""))</f>
        <v/>
      </c>
      <c r="AQ242" s="31" t="str">
        <f aca="false">IF(AN242="","",IFERROR(INDEX(Catalog!$C$5:$C$400,MATCH(AN242,Catalog!$A$5:$A$400,0)),""))</f>
        <v/>
      </c>
      <c r="AR242" s="31" t="str">
        <f aca="false">IF(AN242="","",IFERROR(INDEX(Catalog!$D$5:$D$400,MATCH(AN242,Catalog!$A$5:$A$400,0)),""))</f>
        <v/>
      </c>
      <c r="AS242" s="31" t="str">
        <f aca="false">IF(AN242="","",IFERROR(INDEX(Catalog!$E$5:$E$400,MATCH(AN242,Catalog!$A$5:$A$400,0)),""))</f>
        <v/>
      </c>
      <c r="AT242" s="44" t="str">
        <f aca="false">IF(AN242="","",IFERROR(INDEX(Catalog!$F$5:$F$400,MATCH(AN242,Catalog!$A$5:$A$400,0)),""))</f>
        <v/>
      </c>
      <c r="AU242" s="31" t="str">
        <f aca="false">IF(AND(B242&lt;&gt;"",ISNUMBER(V242)),V242+ROW()/100000,"")</f>
        <v/>
      </c>
    </row>
    <row r="243" customFormat="false" ht="15" hidden="false" customHeight="false" outlineLevel="0" collapsed="false">
      <c r="A243" s="31" t="str">
        <f aca="false">IF(B243="","",ROW()-5)</f>
        <v/>
      </c>
      <c r="B243" s="32"/>
      <c r="C243" s="32"/>
      <c r="D243" s="32"/>
      <c r="E243" s="32"/>
      <c r="F243" s="32"/>
      <c r="G243" s="32"/>
      <c r="H243" s="33"/>
      <c r="I243" s="33"/>
      <c r="J243" s="32"/>
      <c r="K243" s="33"/>
      <c r="L243" s="32"/>
      <c r="M243" s="34"/>
      <c r="N243" s="34"/>
      <c r="O243" s="35" t="str">
        <f aca="false">IF(OR(M243="",N243="",M243=0),"",N243/M243)</f>
        <v/>
      </c>
      <c r="P243" s="36"/>
      <c r="Q243" s="37"/>
      <c r="R243" s="38" t="str">
        <f aca="false">IF(Q243&lt;&gt;"",Q243,IF(AND(P243&lt;&gt;"",M243&lt;&gt;""),P243*12*M243,""))</f>
        <v/>
      </c>
      <c r="S243" s="32"/>
      <c r="T243" s="32"/>
      <c r="U243" s="39"/>
      <c r="V243" s="39"/>
      <c r="W243" s="34"/>
      <c r="X243" s="32"/>
      <c r="Y243" s="34"/>
      <c r="Z243" s="40" t="str">
        <f aca="false">IF(OR(V243="",Y243=""),"",V243-Y243)</f>
        <v/>
      </c>
      <c r="AA243" s="41" t="str">
        <f aca="true">IF(V243="","",V243-TODAY())</f>
        <v/>
      </c>
      <c r="AB243" s="42" t="str">
        <f aca="false">IF(V243="","",IF(AA243&lt;0,"Past due",IF(AA243&lt;=90,"0–90 days",IF(AA243&lt;=180,"91–180 days",IF(AA243&lt;=365,"181–365 days","Over a year")))))</f>
        <v/>
      </c>
      <c r="AC243" s="43"/>
      <c r="AD243" s="32"/>
      <c r="AE243" s="32"/>
      <c r="AF243" s="33"/>
      <c r="AG243" s="32"/>
      <c r="AH243" s="33"/>
      <c r="AI243" s="32"/>
      <c r="AJ243" s="33"/>
      <c r="AK243" s="32"/>
      <c r="AL243" s="32"/>
      <c r="AM243" s="33"/>
      <c r="AN243" s="31" t="str">
        <f aca="false">IF(B243="","",IFERROR(INDEX(Lookup!$B$2:$B$3000,MATCH(TRIM(B243),Lookup!$A$2:$A$3000,0)),""))</f>
        <v/>
      </c>
      <c r="AO243" s="42" t="str">
        <f aca="false">IF(B243="","",IF(AN243="","No – will be reviewed","Yes"))</f>
        <v/>
      </c>
      <c r="AP243" s="31" t="str">
        <f aca="false">IF(AN243="","",IFERROR(INDEX(Catalog!$B$5:$B$400,MATCH(AN243,Catalog!$A$5:$A$400,0)),""))</f>
        <v/>
      </c>
      <c r="AQ243" s="31" t="str">
        <f aca="false">IF(AN243="","",IFERROR(INDEX(Catalog!$C$5:$C$400,MATCH(AN243,Catalog!$A$5:$A$400,0)),""))</f>
        <v/>
      </c>
      <c r="AR243" s="31" t="str">
        <f aca="false">IF(AN243="","",IFERROR(INDEX(Catalog!$D$5:$D$400,MATCH(AN243,Catalog!$A$5:$A$400,0)),""))</f>
        <v/>
      </c>
      <c r="AS243" s="31" t="str">
        <f aca="false">IF(AN243="","",IFERROR(INDEX(Catalog!$E$5:$E$400,MATCH(AN243,Catalog!$A$5:$A$400,0)),""))</f>
        <v/>
      </c>
      <c r="AT243" s="44" t="str">
        <f aca="false">IF(AN243="","",IFERROR(INDEX(Catalog!$F$5:$F$400,MATCH(AN243,Catalog!$A$5:$A$400,0)),""))</f>
        <v/>
      </c>
      <c r="AU243" s="31" t="str">
        <f aca="false">IF(AND(B243&lt;&gt;"",ISNUMBER(V243)),V243+ROW()/100000,"")</f>
        <v/>
      </c>
    </row>
    <row r="244" customFormat="false" ht="15" hidden="false" customHeight="false" outlineLevel="0" collapsed="false">
      <c r="A244" s="31" t="str">
        <f aca="false">IF(B244="","",ROW()-5)</f>
        <v/>
      </c>
      <c r="B244" s="32"/>
      <c r="C244" s="32"/>
      <c r="D244" s="32"/>
      <c r="E244" s="32"/>
      <c r="F244" s="32"/>
      <c r="G244" s="32"/>
      <c r="H244" s="33"/>
      <c r="I244" s="33"/>
      <c r="J244" s="32"/>
      <c r="K244" s="33"/>
      <c r="L244" s="32"/>
      <c r="M244" s="34"/>
      <c r="N244" s="34"/>
      <c r="O244" s="35" t="str">
        <f aca="false">IF(OR(M244="",N244="",M244=0),"",N244/M244)</f>
        <v/>
      </c>
      <c r="P244" s="36"/>
      <c r="Q244" s="37"/>
      <c r="R244" s="38" t="str">
        <f aca="false">IF(Q244&lt;&gt;"",Q244,IF(AND(P244&lt;&gt;"",M244&lt;&gt;""),P244*12*M244,""))</f>
        <v/>
      </c>
      <c r="S244" s="32"/>
      <c r="T244" s="32"/>
      <c r="U244" s="39"/>
      <c r="V244" s="39"/>
      <c r="W244" s="34"/>
      <c r="X244" s="32"/>
      <c r="Y244" s="34"/>
      <c r="Z244" s="40" t="str">
        <f aca="false">IF(OR(V244="",Y244=""),"",V244-Y244)</f>
        <v/>
      </c>
      <c r="AA244" s="41" t="str">
        <f aca="true">IF(V244="","",V244-TODAY())</f>
        <v/>
      </c>
      <c r="AB244" s="42" t="str">
        <f aca="false">IF(V244="","",IF(AA244&lt;0,"Past due",IF(AA244&lt;=90,"0–90 days",IF(AA244&lt;=180,"91–180 days",IF(AA244&lt;=365,"181–365 days","Over a year")))))</f>
        <v/>
      </c>
      <c r="AC244" s="43"/>
      <c r="AD244" s="32"/>
      <c r="AE244" s="32"/>
      <c r="AF244" s="33"/>
      <c r="AG244" s="32"/>
      <c r="AH244" s="33"/>
      <c r="AI244" s="32"/>
      <c r="AJ244" s="33"/>
      <c r="AK244" s="32"/>
      <c r="AL244" s="32"/>
      <c r="AM244" s="33"/>
      <c r="AN244" s="31" t="str">
        <f aca="false">IF(B244="","",IFERROR(INDEX(Lookup!$B$2:$B$3000,MATCH(TRIM(B244),Lookup!$A$2:$A$3000,0)),""))</f>
        <v/>
      </c>
      <c r="AO244" s="42" t="str">
        <f aca="false">IF(B244="","",IF(AN244="","No – will be reviewed","Yes"))</f>
        <v/>
      </c>
      <c r="AP244" s="31" t="str">
        <f aca="false">IF(AN244="","",IFERROR(INDEX(Catalog!$B$5:$B$400,MATCH(AN244,Catalog!$A$5:$A$400,0)),""))</f>
        <v/>
      </c>
      <c r="AQ244" s="31" t="str">
        <f aca="false">IF(AN244="","",IFERROR(INDEX(Catalog!$C$5:$C$400,MATCH(AN244,Catalog!$A$5:$A$400,0)),""))</f>
        <v/>
      </c>
      <c r="AR244" s="31" t="str">
        <f aca="false">IF(AN244="","",IFERROR(INDEX(Catalog!$D$5:$D$400,MATCH(AN244,Catalog!$A$5:$A$400,0)),""))</f>
        <v/>
      </c>
      <c r="AS244" s="31" t="str">
        <f aca="false">IF(AN244="","",IFERROR(INDEX(Catalog!$E$5:$E$400,MATCH(AN244,Catalog!$A$5:$A$400,0)),""))</f>
        <v/>
      </c>
      <c r="AT244" s="44" t="str">
        <f aca="false">IF(AN244="","",IFERROR(INDEX(Catalog!$F$5:$F$400,MATCH(AN244,Catalog!$A$5:$A$400,0)),""))</f>
        <v/>
      </c>
      <c r="AU244" s="31" t="str">
        <f aca="false">IF(AND(B244&lt;&gt;"",ISNUMBER(V244)),V244+ROW()/100000,"")</f>
        <v/>
      </c>
    </row>
    <row r="245" customFormat="false" ht="15" hidden="false" customHeight="false" outlineLevel="0" collapsed="false">
      <c r="A245" s="31" t="str">
        <f aca="false">IF(B245="","",ROW()-5)</f>
        <v/>
      </c>
      <c r="B245" s="32"/>
      <c r="C245" s="32"/>
      <c r="D245" s="32"/>
      <c r="E245" s="32"/>
      <c r="F245" s="32"/>
      <c r="G245" s="32"/>
      <c r="H245" s="33"/>
      <c r="I245" s="33"/>
      <c r="J245" s="32"/>
      <c r="K245" s="33"/>
      <c r="L245" s="32"/>
      <c r="M245" s="34"/>
      <c r="N245" s="34"/>
      <c r="O245" s="35" t="str">
        <f aca="false">IF(OR(M245="",N245="",M245=0),"",N245/M245)</f>
        <v/>
      </c>
      <c r="P245" s="36"/>
      <c r="Q245" s="37"/>
      <c r="R245" s="38" t="str">
        <f aca="false">IF(Q245&lt;&gt;"",Q245,IF(AND(P245&lt;&gt;"",M245&lt;&gt;""),P245*12*M245,""))</f>
        <v/>
      </c>
      <c r="S245" s="32"/>
      <c r="T245" s="32"/>
      <c r="U245" s="39"/>
      <c r="V245" s="39"/>
      <c r="W245" s="34"/>
      <c r="X245" s="32"/>
      <c r="Y245" s="34"/>
      <c r="Z245" s="40" t="str">
        <f aca="false">IF(OR(V245="",Y245=""),"",V245-Y245)</f>
        <v/>
      </c>
      <c r="AA245" s="41" t="str">
        <f aca="true">IF(V245="","",V245-TODAY())</f>
        <v/>
      </c>
      <c r="AB245" s="42" t="str">
        <f aca="false">IF(V245="","",IF(AA245&lt;0,"Past due",IF(AA245&lt;=90,"0–90 days",IF(AA245&lt;=180,"91–180 days",IF(AA245&lt;=365,"181–365 days","Over a year")))))</f>
        <v/>
      </c>
      <c r="AC245" s="43"/>
      <c r="AD245" s="32"/>
      <c r="AE245" s="32"/>
      <c r="AF245" s="33"/>
      <c r="AG245" s="32"/>
      <c r="AH245" s="33"/>
      <c r="AI245" s="32"/>
      <c r="AJ245" s="33"/>
      <c r="AK245" s="32"/>
      <c r="AL245" s="32"/>
      <c r="AM245" s="33"/>
      <c r="AN245" s="31" t="str">
        <f aca="false">IF(B245="","",IFERROR(INDEX(Lookup!$B$2:$B$3000,MATCH(TRIM(B245),Lookup!$A$2:$A$3000,0)),""))</f>
        <v/>
      </c>
      <c r="AO245" s="42" t="str">
        <f aca="false">IF(B245="","",IF(AN245="","No – will be reviewed","Yes"))</f>
        <v/>
      </c>
      <c r="AP245" s="31" t="str">
        <f aca="false">IF(AN245="","",IFERROR(INDEX(Catalog!$B$5:$B$400,MATCH(AN245,Catalog!$A$5:$A$400,0)),""))</f>
        <v/>
      </c>
      <c r="AQ245" s="31" t="str">
        <f aca="false">IF(AN245="","",IFERROR(INDEX(Catalog!$C$5:$C$400,MATCH(AN245,Catalog!$A$5:$A$400,0)),""))</f>
        <v/>
      </c>
      <c r="AR245" s="31" t="str">
        <f aca="false">IF(AN245="","",IFERROR(INDEX(Catalog!$D$5:$D$400,MATCH(AN245,Catalog!$A$5:$A$400,0)),""))</f>
        <v/>
      </c>
      <c r="AS245" s="31" t="str">
        <f aca="false">IF(AN245="","",IFERROR(INDEX(Catalog!$E$5:$E$400,MATCH(AN245,Catalog!$A$5:$A$400,0)),""))</f>
        <v/>
      </c>
      <c r="AT245" s="44" t="str">
        <f aca="false">IF(AN245="","",IFERROR(INDEX(Catalog!$F$5:$F$400,MATCH(AN245,Catalog!$A$5:$A$400,0)),""))</f>
        <v/>
      </c>
      <c r="AU245" s="31" t="str">
        <f aca="false">IF(AND(B245&lt;&gt;"",ISNUMBER(V245)),V245+ROW()/100000,"")</f>
        <v/>
      </c>
    </row>
    <row r="246" customFormat="false" ht="15" hidden="false" customHeight="false" outlineLevel="0" collapsed="false">
      <c r="A246" s="31" t="str">
        <f aca="false">IF(B246="","",ROW()-5)</f>
        <v/>
      </c>
      <c r="B246" s="32"/>
      <c r="C246" s="32"/>
      <c r="D246" s="32"/>
      <c r="E246" s="32"/>
      <c r="F246" s="32"/>
      <c r="G246" s="32"/>
      <c r="H246" s="33"/>
      <c r="I246" s="33"/>
      <c r="J246" s="32"/>
      <c r="K246" s="33"/>
      <c r="L246" s="32"/>
      <c r="M246" s="34"/>
      <c r="N246" s="34"/>
      <c r="O246" s="35" t="str">
        <f aca="false">IF(OR(M246="",N246="",M246=0),"",N246/M246)</f>
        <v/>
      </c>
      <c r="P246" s="36"/>
      <c r="Q246" s="37"/>
      <c r="R246" s="38" t="str">
        <f aca="false">IF(Q246&lt;&gt;"",Q246,IF(AND(P246&lt;&gt;"",M246&lt;&gt;""),P246*12*M246,""))</f>
        <v/>
      </c>
      <c r="S246" s="32"/>
      <c r="T246" s="32"/>
      <c r="U246" s="39"/>
      <c r="V246" s="39"/>
      <c r="W246" s="34"/>
      <c r="X246" s="32"/>
      <c r="Y246" s="34"/>
      <c r="Z246" s="40" t="str">
        <f aca="false">IF(OR(V246="",Y246=""),"",V246-Y246)</f>
        <v/>
      </c>
      <c r="AA246" s="41" t="str">
        <f aca="true">IF(V246="","",V246-TODAY())</f>
        <v/>
      </c>
      <c r="AB246" s="42" t="str">
        <f aca="false">IF(V246="","",IF(AA246&lt;0,"Past due",IF(AA246&lt;=90,"0–90 days",IF(AA246&lt;=180,"91–180 days",IF(AA246&lt;=365,"181–365 days","Over a year")))))</f>
        <v/>
      </c>
      <c r="AC246" s="43"/>
      <c r="AD246" s="32"/>
      <c r="AE246" s="32"/>
      <c r="AF246" s="33"/>
      <c r="AG246" s="32"/>
      <c r="AH246" s="33"/>
      <c r="AI246" s="32"/>
      <c r="AJ246" s="33"/>
      <c r="AK246" s="32"/>
      <c r="AL246" s="32"/>
      <c r="AM246" s="33"/>
      <c r="AN246" s="31" t="str">
        <f aca="false">IF(B246="","",IFERROR(INDEX(Lookup!$B$2:$B$3000,MATCH(TRIM(B246),Lookup!$A$2:$A$3000,0)),""))</f>
        <v/>
      </c>
      <c r="AO246" s="42" t="str">
        <f aca="false">IF(B246="","",IF(AN246="","No – will be reviewed","Yes"))</f>
        <v/>
      </c>
      <c r="AP246" s="31" t="str">
        <f aca="false">IF(AN246="","",IFERROR(INDEX(Catalog!$B$5:$B$400,MATCH(AN246,Catalog!$A$5:$A$400,0)),""))</f>
        <v/>
      </c>
      <c r="AQ246" s="31" t="str">
        <f aca="false">IF(AN246="","",IFERROR(INDEX(Catalog!$C$5:$C$400,MATCH(AN246,Catalog!$A$5:$A$400,0)),""))</f>
        <v/>
      </c>
      <c r="AR246" s="31" t="str">
        <f aca="false">IF(AN246="","",IFERROR(INDEX(Catalog!$D$5:$D$400,MATCH(AN246,Catalog!$A$5:$A$400,0)),""))</f>
        <v/>
      </c>
      <c r="AS246" s="31" t="str">
        <f aca="false">IF(AN246="","",IFERROR(INDEX(Catalog!$E$5:$E$400,MATCH(AN246,Catalog!$A$5:$A$400,0)),""))</f>
        <v/>
      </c>
      <c r="AT246" s="44" t="str">
        <f aca="false">IF(AN246="","",IFERROR(INDEX(Catalog!$F$5:$F$400,MATCH(AN246,Catalog!$A$5:$A$400,0)),""))</f>
        <v/>
      </c>
      <c r="AU246" s="31" t="str">
        <f aca="false">IF(AND(B246&lt;&gt;"",ISNUMBER(V246)),V246+ROW()/100000,"")</f>
        <v/>
      </c>
    </row>
    <row r="247" customFormat="false" ht="15" hidden="false" customHeight="false" outlineLevel="0" collapsed="false">
      <c r="A247" s="31" t="str">
        <f aca="false">IF(B247="","",ROW()-5)</f>
        <v/>
      </c>
      <c r="B247" s="32"/>
      <c r="C247" s="32"/>
      <c r="D247" s="32"/>
      <c r="E247" s="32"/>
      <c r="F247" s="32"/>
      <c r="G247" s="32"/>
      <c r="H247" s="33"/>
      <c r="I247" s="33"/>
      <c r="J247" s="32"/>
      <c r="K247" s="33"/>
      <c r="L247" s="32"/>
      <c r="M247" s="34"/>
      <c r="N247" s="34"/>
      <c r="O247" s="35" t="str">
        <f aca="false">IF(OR(M247="",N247="",M247=0),"",N247/M247)</f>
        <v/>
      </c>
      <c r="P247" s="36"/>
      <c r="Q247" s="37"/>
      <c r="R247" s="38" t="str">
        <f aca="false">IF(Q247&lt;&gt;"",Q247,IF(AND(P247&lt;&gt;"",M247&lt;&gt;""),P247*12*M247,""))</f>
        <v/>
      </c>
      <c r="S247" s="32"/>
      <c r="T247" s="32"/>
      <c r="U247" s="39"/>
      <c r="V247" s="39"/>
      <c r="W247" s="34"/>
      <c r="X247" s="32"/>
      <c r="Y247" s="34"/>
      <c r="Z247" s="40" t="str">
        <f aca="false">IF(OR(V247="",Y247=""),"",V247-Y247)</f>
        <v/>
      </c>
      <c r="AA247" s="41" t="str">
        <f aca="true">IF(V247="","",V247-TODAY())</f>
        <v/>
      </c>
      <c r="AB247" s="42" t="str">
        <f aca="false">IF(V247="","",IF(AA247&lt;0,"Past due",IF(AA247&lt;=90,"0–90 days",IF(AA247&lt;=180,"91–180 days",IF(AA247&lt;=365,"181–365 days","Over a year")))))</f>
        <v/>
      </c>
      <c r="AC247" s="43"/>
      <c r="AD247" s="32"/>
      <c r="AE247" s="32"/>
      <c r="AF247" s="33"/>
      <c r="AG247" s="32"/>
      <c r="AH247" s="33"/>
      <c r="AI247" s="32"/>
      <c r="AJ247" s="33"/>
      <c r="AK247" s="32"/>
      <c r="AL247" s="32"/>
      <c r="AM247" s="33"/>
      <c r="AN247" s="31" t="str">
        <f aca="false">IF(B247="","",IFERROR(INDEX(Lookup!$B$2:$B$3000,MATCH(TRIM(B247),Lookup!$A$2:$A$3000,0)),""))</f>
        <v/>
      </c>
      <c r="AO247" s="42" t="str">
        <f aca="false">IF(B247="","",IF(AN247="","No – will be reviewed","Yes"))</f>
        <v/>
      </c>
      <c r="AP247" s="31" t="str">
        <f aca="false">IF(AN247="","",IFERROR(INDEX(Catalog!$B$5:$B$400,MATCH(AN247,Catalog!$A$5:$A$400,0)),""))</f>
        <v/>
      </c>
      <c r="AQ247" s="31" t="str">
        <f aca="false">IF(AN247="","",IFERROR(INDEX(Catalog!$C$5:$C$400,MATCH(AN247,Catalog!$A$5:$A$400,0)),""))</f>
        <v/>
      </c>
      <c r="AR247" s="31" t="str">
        <f aca="false">IF(AN247="","",IFERROR(INDEX(Catalog!$D$5:$D$400,MATCH(AN247,Catalog!$A$5:$A$400,0)),""))</f>
        <v/>
      </c>
      <c r="AS247" s="31" t="str">
        <f aca="false">IF(AN247="","",IFERROR(INDEX(Catalog!$E$5:$E$400,MATCH(AN247,Catalog!$A$5:$A$400,0)),""))</f>
        <v/>
      </c>
      <c r="AT247" s="44" t="str">
        <f aca="false">IF(AN247="","",IFERROR(INDEX(Catalog!$F$5:$F$400,MATCH(AN247,Catalog!$A$5:$A$400,0)),""))</f>
        <v/>
      </c>
      <c r="AU247" s="31" t="str">
        <f aca="false">IF(AND(B247&lt;&gt;"",ISNUMBER(V247)),V247+ROW()/100000,"")</f>
        <v/>
      </c>
    </row>
    <row r="248" customFormat="false" ht="15" hidden="false" customHeight="false" outlineLevel="0" collapsed="false">
      <c r="A248" s="31" t="str">
        <f aca="false">IF(B248="","",ROW()-5)</f>
        <v/>
      </c>
      <c r="B248" s="32"/>
      <c r="C248" s="32"/>
      <c r="D248" s="32"/>
      <c r="E248" s="32"/>
      <c r="F248" s="32"/>
      <c r="G248" s="32"/>
      <c r="H248" s="33"/>
      <c r="I248" s="33"/>
      <c r="J248" s="32"/>
      <c r="K248" s="33"/>
      <c r="L248" s="32"/>
      <c r="M248" s="34"/>
      <c r="N248" s="34"/>
      <c r="O248" s="35" t="str">
        <f aca="false">IF(OR(M248="",N248="",M248=0),"",N248/M248)</f>
        <v/>
      </c>
      <c r="P248" s="36"/>
      <c r="Q248" s="37"/>
      <c r="R248" s="38" t="str">
        <f aca="false">IF(Q248&lt;&gt;"",Q248,IF(AND(P248&lt;&gt;"",M248&lt;&gt;""),P248*12*M248,""))</f>
        <v/>
      </c>
      <c r="S248" s="32"/>
      <c r="T248" s="32"/>
      <c r="U248" s="39"/>
      <c r="V248" s="39"/>
      <c r="W248" s="34"/>
      <c r="X248" s="32"/>
      <c r="Y248" s="34"/>
      <c r="Z248" s="40" t="str">
        <f aca="false">IF(OR(V248="",Y248=""),"",V248-Y248)</f>
        <v/>
      </c>
      <c r="AA248" s="41" t="str">
        <f aca="true">IF(V248="","",V248-TODAY())</f>
        <v/>
      </c>
      <c r="AB248" s="42" t="str">
        <f aca="false">IF(V248="","",IF(AA248&lt;0,"Past due",IF(AA248&lt;=90,"0–90 days",IF(AA248&lt;=180,"91–180 days",IF(AA248&lt;=365,"181–365 days","Over a year")))))</f>
        <v/>
      </c>
      <c r="AC248" s="43"/>
      <c r="AD248" s="32"/>
      <c r="AE248" s="32"/>
      <c r="AF248" s="33"/>
      <c r="AG248" s="32"/>
      <c r="AH248" s="33"/>
      <c r="AI248" s="32"/>
      <c r="AJ248" s="33"/>
      <c r="AK248" s="32"/>
      <c r="AL248" s="32"/>
      <c r="AM248" s="33"/>
      <c r="AN248" s="31" t="str">
        <f aca="false">IF(B248="","",IFERROR(INDEX(Lookup!$B$2:$B$3000,MATCH(TRIM(B248),Lookup!$A$2:$A$3000,0)),""))</f>
        <v/>
      </c>
      <c r="AO248" s="42" t="str">
        <f aca="false">IF(B248="","",IF(AN248="","No – will be reviewed","Yes"))</f>
        <v/>
      </c>
      <c r="AP248" s="31" t="str">
        <f aca="false">IF(AN248="","",IFERROR(INDEX(Catalog!$B$5:$B$400,MATCH(AN248,Catalog!$A$5:$A$400,0)),""))</f>
        <v/>
      </c>
      <c r="AQ248" s="31" t="str">
        <f aca="false">IF(AN248="","",IFERROR(INDEX(Catalog!$C$5:$C$400,MATCH(AN248,Catalog!$A$5:$A$400,0)),""))</f>
        <v/>
      </c>
      <c r="AR248" s="31" t="str">
        <f aca="false">IF(AN248="","",IFERROR(INDEX(Catalog!$D$5:$D$400,MATCH(AN248,Catalog!$A$5:$A$400,0)),""))</f>
        <v/>
      </c>
      <c r="AS248" s="31" t="str">
        <f aca="false">IF(AN248="","",IFERROR(INDEX(Catalog!$E$5:$E$400,MATCH(AN248,Catalog!$A$5:$A$400,0)),""))</f>
        <v/>
      </c>
      <c r="AT248" s="44" t="str">
        <f aca="false">IF(AN248="","",IFERROR(INDEX(Catalog!$F$5:$F$400,MATCH(AN248,Catalog!$A$5:$A$400,0)),""))</f>
        <v/>
      </c>
      <c r="AU248" s="31" t="str">
        <f aca="false">IF(AND(B248&lt;&gt;"",ISNUMBER(V248)),V248+ROW()/100000,"")</f>
        <v/>
      </c>
    </row>
    <row r="249" customFormat="false" ht="15" hidden="false" customHeight="false" outlineLevel="0" collapsed="false">
      <c r="A249" s="31" t="str">
        <f aca="false">IF(B249="","",ROW()-5)</f>
        <v/>
      </c>
      <c r="B249" s="32"/>
      <c r="C249" s="32"/>
      <c r="D249" s="32"/>
      <c r="E249" s="32"/>
      <c r="F249" s="32"/>
      <c r="G249" s="32"/>
      <c r="H249" s="33"/>
      <c r="I249" s="33"/>
      <c r="J249" s="32"/>
      <c r="K249" s="33"/>
      <c r="L249" s="32"/>
      <c r="M249" s="34"/>
      <c r="N249" s="34"/>
      <c r="O249" s="35" t="str">
        <f aca="false">IF(OR(M249="",N249="",M249=0),"",N249/M249)</f>
        <v/>
      </c>
      <c r="P249" s="36"/>
      <c r="Q249" s="37"/>
      <c r="R249" s="38" t="str">
        <f aca="false">IF(Q249&lt;&gt;"",Q249,IF(AND(P249&lt;&gt;"",M249&lt;&gt;""),P249*12*M249,""))</f>
        <v/>
      </c>
      <c r="S249" s="32"/>
      <c r="T249" s="32"/>
      <c r="U249" s="39"/>
      <c r="V249" s="39"/>
      <c r="W249" s="34"/>
      <c r="X249" s="32"/>
      <c r="Y249" s="34"/>
      <c r="Z249" s="40" t="str">
        <f aca="false">IF(OR(V249="",Y249=""),"",V249-Y249)</f>
        <v/>
      </c>
      <c r="AA249" s="41" t="str">
        <f aca="true">IF(V249="","",V249-TODAY())</f>
        <v/>
      </c>
      <c r="AB249" s="42" t="str">
        <f aca="false">IF(V249="","",IF(AA249&lt;0,"Past due",IF(AA249&lt;=90,"0–90 days",IF(AA249&lt;=180,"91–180 days",IF(AA249&lt;=365,"181–365 days","Over a year")))))</f>
        <v/>
      </c>
      <c r="AC249" s="43"/>
      <c r="AD249" s="32"/>
      <c r="AE249" s="32"/>
      <c r="AF249" s="33"/>
      <c r="AG249" s="32"/>
      <c r="AH249" s="33"/>
      <c r="AI249" s="32"/>
      <c r="AJ249" s="33"/>
      <c r="AK249" s="32"/>
      <c r="AL249" s="32"/>
      <c r="AM249" s="33"/>
      <c r="AN249" s="31" t="str">
        <f aca="false">IF(B249="","",IFERROR(INDEX(Lookup!$B$2:$B$3000,MATCH(TRIM(B249),Lookup!$A$2:$A$3000,0)),""))</f>
        <v/>
      </c>
      <c r="AO249" s="42" t="str">
        <f aca="false">IF(B249="","",IF(AN249="","No – will be reviewed","Yes"))</f>
        <v/>
      </c>
      <c r="AP249" s="31" t="str">
        <f aca="false">IF(AN249="","",IFERROR(INDEX(Catalog!$B$5:$B$400,MATCH(AN249,Catalog!$A$5:$A$400,0)),""))</f>
        <v/>
      </c>
      <c r="AQ249" s="31" t="str">
        <f aca="false">IF(AN249="","",IFERROR(INDEX(Catalog!$C$5:$C$400,MATCH(AN249,Catalog!$A$5:$A$400,0)),""))</f>
        <v/>
      </c>
      <c r="AR249" s="31" t="str">
        <f aca="false">IF(AN249="","",IFERROR(INDEX(Catalog!$D$5:$D$400,MATCH(AN249,Catalog!$A$5:$A$400,0)),""))</f>
        <v/>
      </c>
      <c r="AS249" s="31" t="str">
        <f aca="false">IF(AN249="","",IFERROR(INDEX(Catalog!$E$5:$E$400,MATCH(AN249,Catalog!$A$5:$A$400,0)),""))</f>
        <v/>
      </c>
      <c r="AT249" s="44" t="str">
        <f aca="false">IF(AN249="","",IFERROR(INDEX(Catalog!$F$5:$F$400,MATCH(AN249,Catalog!$A$5:$A$400,0)),""))</f>
        <v/>
      </c>
      <c r="AU249" s="31" t="str">
        <f aca="false">IF(AND(B249&lt;&gt;"",ISNUMBER(V249)),V249+ROW()/100000,"")</f>
        <v/>
      </c>
    </row>
    <row r="250" customFormat="false" ht="15" hidden="false" customHeight="false" outlineLevel="0" collapsed="false">
      <c r="A250" s="31" t="str">
        <f aca="false">IF(B250="","",ROW()-5)</f>
        <v/>
      </c>
      <c r="B250" s="32"/>
      <c r="C250" s="32"/>
      <c r="D250" s="32"/>
      <c r="E250" s="32"/>
      <c r="F250" s="32"/>
      <c r="G250" s="32"/>
      <c r="H250" s="33"/>
      <c r="I250" s="33"/>
      <c r="J250" s="32"/>
      <c r="K250" s="33"/>
      <c r="L250" s="32"/>
      <c r="M250" s="34"/>
      <c r="N250" s="34"/>
      <c r="O250" s="35" t="str">
        <f aca="false">IF(OR(M250="",N250="",M250=0),"",N250/M250)</f>
        <v/>
      </c>
      <c r="P250" s="36"/>
      <c r="Q250" s="37"/>
      <c r="R250" s="38" t="str">
        <f aca="false">IF(Q250&lt;&gt;"",Q250,IF(AND(P250&lt;&gt;"",M250&lt;&gt;""),P250*12*M250,""))</f>
        <v/>
      </c>
      <c r="S250" s="32"/>
      <c r="T250" s="32"/>
      <c r="U250" s="39"/>
      <c r="V250" s="39"/>
      <c r="W250" s="34"/>
      <c r="X250" s="32"/>
      <c r="Y250" s="34"/>
      <c r="Z250" s="40" t="str">
        <f aca="false">IF(OR(V250="",Y250=""),"",V250-Y250)</f>
        <v/>
      </c>
      <c r="AA250" s="41" t="str">
        <f aca="true">IF(V250="","",V250-TODAY())</f>
        <v/>
      </c>
      <c r="AB250" s="42" t="str">
        <f aca="false">IF(V250="","",IF(AA250&lt;0,"Past due",IF(AA250&lt;=90,"0–90 days",IF(AA250&lt;=180,"91–180 days",IF(AA250&lt;=365,"181–365 days","Over a year")))))</f>
        <v/>
      </c>
      <c r="AC250" s="43"/>
      <c r="AD250" s="32"/>
      <c r="AE250" s="32"/>
      <c r="AF250" s="33"/>
      <c r="AG250" s="32"/>
      <c r="AH250" s="33"/>
      <c r="AI250" s="32"/>
      <c r="AJ250" s="33"/>
      <c r="AK250" s="32"/>
      <c r="AL250" s="32"/>
      <c r="AM250" s="33"/>
      <c r="AN250" s="31" t="str">
        <f aca="false">IF(B250="","",IFERROR(INDEX(Lookup!$B$2:$B$3000,MATCH(TRIM(B250),Lookup!$A$2:$A$3000,0)),""))</f>
        <v/>
      </c>
      <c r="AO250" s="42" t="str">
        <f aca="false">IF(B250="","",IF(AN250="","No – will be reviewed","Yes"))</f>
        <v/>
      </c>
      <c r="AP250" s="31" t="str">
        <f aca="false">IF(AN250="","",IFERROR(INDEX(Catalog!$B$5:$B$400,MATCH(AN250,Catalog!$A$5:$A$400,0)),""))</f>
        <v/>
      </c>
      <c r="AQ250" s="31" t="str">
        <f aca="false">IF(AN250="","",IFERROR(INDEX(Catalog!$C$5:$C$400,MATCH(AN250,Catalog!$A$5:$A$400,0)),""))</f>
        <v/>
      </c>
      <c r="AR250" s="31" t="str">
        <f aca="false">IF(AN250="","",IFERROR(INDEX(Catalog!$D$5:$D$400,MATCH(AN250,Catalog!$A$5:$A$400,0)),""))</f>
        <v/>
      </c>
      <c r="AS250" s="31" t="str">
        <f aca="false">IF(AN250="","",IFERROR(INDEX(Catalog!$E$5:$E$400,MATCH(AN250,Catalog!$A$5:$A$400,0)),""))</f>
        <v/>
      </c>
      <c r="AT250" s="44" t="str">
        <f aca="false">IF(AN250="","",IFERROR(INDEX(Catalog!$F$5:$F$400,MATCH(AN250,Catalog!$A$5:$A$400,0)),""))</f>
        <v/>
      </c>
      <c r="AU250" s="31" t="str">
        <f aca="false">IF(AND(B250&lt;&gt;"",ISNUMBER(V250)),V250+ROW()/100000,"")</f>
        <v/>
      </c>
    </row>
    <row r="251" customFormat="false" ht="15" hidden="false" customHeight="false" outlineLevel="0" collapsed="false">
      <c r="A251" s="31" t="str">
        <f aca="false">IF(B251="","",ROW()-5)</f>
        <v/>
      </c>
      <c r="B251" s="32"/>
      <c r="C251" s="32"/>
      <c r="D251" s="32"/>
      <c r="E251" s="32"/>
      <c r="F251" s="32"/>
      <c r="G251" s="32"/>
      <c r="H251" s="33"/>
      <c r="I251" s="33"/>
      <c r="J251" s="32"/>
      <c r="K251" s="33"/>
      <c r="L251" s="32"/>
      <c r="M251" s="34"/>
      <c r="N251" s="34"/>
      <c r="O251" s="35" t="str">
        <f aca="false">IF(OR(M251="",N251="",M251=0),"",N251/M251)</f>
        <v/>
      </c>
      <c r="P251" s="36"/>
      <c r="Q251" s="37"/>
      <c r="R251" s="38" t="str">
        <f aca="false">IF(Q251&lt;&gt;"",Q251,IF(AND(P251&lt;&gt;"",M251&lt;&gt;""),P251*12*M251,""))</f>
        <v/>
      </c>
      <c r="S251" s="32"/>
      <c r="T251" s="32"/>
      <c r="U251" s="39"/>
      <c r="V251" s="39"/>
      <c r="W251" s="34"/>
      <c r="X251" s="32"/>
      <c r="Y251" s="34"/>
      <c r="Z251" s="40" t="str">
        <f aca="false">IF(OR(V251="",Y251=""),"",V251-Y251)</f>
        <v/>
      </c>
      <c r="AA251" s="41" t="str">
        <f aca="true">IF(V251="","",V251-TODAY())</f>
        <v/>
      </c>
      <c r="AB251" s="42" t="str">
        <f aca="false">IF(V251="","",IF(AA251&lt;0,"Past due",IF(AA251&lt;=90,"0–90 days",IF(AA251&lt;=180,"91–180 days",IF(AA251&lt;=365,"181–365 days","Over a year")))))</f>
        <v/>
      </c>
      <c r="AC251" s="43"/>
      <c r="AD251" s="32"/>
      <c r="AE251" s="32"/>
      <c r="AF251" s="33"/>
      <c r="AG251" s="32"/>
      <c r="AH251" s="33"/>
      <c r="AI251" s="32"/>
      <c r="AJ251" s="33"/>
      <c r="AK251" s="32"/>
      <c r="AL251" s="32"/>
      <c r="AM251" s="33"/>
      <c r="AN251" s="31" t="str">
        <f aca="false">IF(B251="","",IFERROR(INDEX(Lookup!$B$2:$B$3000,MATCH(TRIM(B251),Lookup!$A$2:$A$3000,0)),""))</f>
        <v/>
      </c>
      <c r="AO251" s="42" t="str">
        <f aca="false">IF(B251="","",IF(AN251="","No – will be reviewed","Yes"))</f>
        <v/>
      </c>
      <c r="AP251" s="31" t="str">
        <f aca="false">IF(AN251="","",IFERROR(INDEX(Catalog!$B$5:$B$400,MATCH(AN251,Catalog!$A$5:$A$400,0)),""))</f>
        <v/>
      </c>
      <c r="AQ251" s="31" t="str">
        <f aca="false">IF(AN251="","",IFERROR(INDEX(Catalog!$C$5:$C$400,MATCH(AN251,Catalog!$A$5:$A$400,0)),""))</f>
        <v/>
      </c>
      <c r="AR251" s="31" t="str">
        <f aca="false">IF(AN251="","",IFERROR(INDEX(Catalog!$D$5:$D$400,MATCH(AN251,Catalog!$A$5:$A$400,0)),""))</f>
        <v/>
      </c>
      <c r="AS251" s="31" t="str">
        <f aca="false">IF(AN251="","",IFERROR(INDEX(Catalog!$E$5:$E$400,MATCH(AN251,Catalog!$A$5:$A$400,0)),""))</f>
        <v/>
      </c>
      <c r="AT251" s="44" t="str">
        <f aca="false">IF(AN251="","",IFERROR(INDEX(Catalog!$F$5:$F$400,MATCH(AN251,Catalog!$A$5:$A$400,0)),""))</f>
        <v/>
      </c>
      <c r="AU251" s="31" t="str">
        <f aca="false">IF(AND(B251&lt;&gt;"",ISNUMBER(V251)),V251+ROW()/100000,"")</f>
        <v/>
      </c>
    </row>
    <row r="252" customFormat="false" ht="15" hidden="false" customHeight="false" outlineLevel="0" collapsed="false">
      <c r="A252" s="31" t="str">
        <f aca="false">IF(B252="","",ROW()-5)</f>
        <v/>
      </c>
      <c r="B252" s="32"/>
      <c r="C252" s="32"/>
      <c r="D252" s="32"/>
      <c r="E252" s="32"/>
      <c r="F252" s="32"/>
      <c r="G252" s="32"/>
      <c r="H252" s="33"/>
      <c r="I252" s="33"/>
      <c r="J252" s="32"/>
      <c r="K252" s="33"/>
      <c r="L252" s="32"/>
      <c r="M252" s="34"/>
      <c r="N252" s="34"/>
      <c r="O252" s="35" t="str">
        <f aca="false">IF(OR(M252="",N252="",M252=0),"",N252/M252)</f>
        <v/>
      </c>
      <c r="P252" s="36"/>
      <c r="Q252" s="37"/>
      <c r="R252" s="38" t="str">
        <f aca="false">IF(Q252&lt;&gt;"",Q252,IF(AND(P252&lt;&gt;"",M252&lt;&gt;""),P252*12*M252,""))</f>
        <v/>
      </c>
      <c r="S252" s="32"/>
      <c r="T252" s="32"/>
      <c r="U252" s="39"/>
      <c r="V252" s="39"/>
      <c r="W252" s="34"/>
      <c r="X252" s="32"/>
      <c r="Y252" s="34"/>
      <c r="Z252" s="40" t="str">
        <f aca="false">IF(OR(V252="",Y252=""),"",V252-Y252)</f>
        <v/>
      </c>
      <c r="AA252" s="41" t="str">
        <f aca="true">IF(V252="","",V252-TODAY())</f>
        <v/>
      </c>
      <c r="AB252" s="42" t="str">
        <f aca="false">IF(V252="","",IF(AA252&lt;0,"Past due",IF(AA252&lt;=90,"0–90 days",IF(AA252&lt;=180,"91–180 days",IF(AA252&lt;=365,"181–365 days","Over a year")))))</f>
        <v/>
      </c>
      <c r="AC252" s="43"/>
      <c r="AD252" s="32"/>
      <c r="AE252" s="32"/>
      <c r="AF252" s="33"/>
      <c r="AG252" s="32"/>
      <c r="AH252" s="33"/>
      <c r="AI252" s="32"/>
      <c r="AJ252" s="33"/>
      <c r="AK252" s="32"/>
      <c r="AL252" s="32"/>
      <c r="AM252" s="33"/>
      <c r="AN252" s="31" t="str">
        <f aca="false">IF(B252="","",IFERROR(INDEX(Lookup!$B$2:$B$3000,MATCH(TRIM(B252),Lookup!$A$2:$A$3000,0)),""))</f>
        <v/>
      </c>
      <c r="AO252" s="42" t="str">
        <f aca="false">IF(B252="","",IF(AN252="","No – will be reviewed","Yes"))</f>
        <v/>
      </c>
      <c r="AP252" s="31" t="str">
        <f aca="false">IF(AN252="","",IFERROR(INDEX(Catalog!$B$5:$B$400,MATCH(AN252,Catalog!$A$5:$A$400,0)),""))</f>
        <v/>
      </c>
      <c r="AQ252" s="31" t="str">
        <f aca="false">IF(AN252="","",IFERROR(INDEX(Catalog!$C$5:$C$400,MATCH(AN252,Catalog!$A$5:$A$400,0)),""))</f>
        <v/>
      </c>
      <c r="AR252" s="31" t="str">
        <f aca="false">IF(AN252="","",IFERROR(INDEX(Catalog!$D$5:$D$400,MATCH(AN252,Catalog!$A$5:$A$400,0)),""))</f>
        <v/>
      </c>
      <c r="AS252" s="31" t="str">
        <f aca="false">IF(AN252="","",IFERROR(INDEX(Catalog!$E$5:$E$400,MATCH(AN252,Catalog!$A$5:$A$400,0)),""))</f>
        <v/>
      </c>
      <c r="AT252" s="44" t="str">
        <f aca="false">IF(AN252="","",IFERROR(INDEX(Catalog!$F$5:$F$400,MATCH(AN252,Catalog!$A$5:$A$400,0)),""))</f>
        <v/>
      </c>
      <c r="AU252" s="31" t="str">
        <f aca="false">IF(AND(B252&lt;&gt;"",ISNUMBER(V252)),V252+ROW()/100000,"")</f>
        <v/>
      </c>
    </row>
    <row r="253" customFormat="false" ht="15" hidden="false" customHeight="false" outlineLevel="0" collapsed="false">
      <c r="A253" s="31" t="str">
        <f aca="false">IF(B253="","",ROW()-5)</f>
        <v/>
      </c>
      <c r="B253" s="32"/>
      <c r="C253" s="32"/>
      <c r="D253" s="32"/>
      <c r="E253" s="32"/>
      <c r="F253" s="32"/>
      <c r="G253" s="32"/>
      <c r="H253" s="33"/>
      <c r="I253" s="33"/>
      <c r="J253" s="32"/>
      <c r="K253" s="33"/>
      <c r="L253" s="32"/>
      <c r="M253" s="34"/>
      <c r="N253" s="34"/>
      <c r="O253" s="35" t="str">
        <f aca="false">IF(OR(M253="",N253="",M253=0),"",N253/M253)</f>
        <v/>
      </c>
      <c r="P253" s="36"/>
      <c r="Q253" s="37"/>
      <c r="R253" s="38" t="str">
        <f aca="false">IF(Q253&lt;&gt;"",Q253,IF(AND(P253&lt;&gt;"",M253&lt;&gt;""),P253*12*M253,""))</f>
        <v/>
      </c>
      <c r="S253" s="32"/>
      <c r="T253" s="32"/>
      <c r="U253" s="39"/>
      <c r="V253" s="39"/>
      <c r="W253" s="34"/>
      <c r="X253" s="32"/>
      <c r="Y253" s="34"/>
      <c r="Z253" s="40" t="str">
        <f aca="false">IF(OR(V253="",Y253=""),"",V253-Y253)</f>
        <v/>
      </c>
      <c r="AA253" s="41" t="str">
        <f aca="true">IF(V253="","",V253-TODAY())</f>
        <v/>
      </c>
      <c r="AB253" s="42" t="str">
        <f aca="false">IF(V253="","",IF(AA253&lt;0,"Past due",IF(AA253&lt;=90,"0–90 days",IF(AA253&lt;=180,"91–180 days",IF(AA253&lt;=365,"181–365 days","Over a year")))))</f>
        <v/>
      </c>
      <c r="AC253" s="43"/>
      <c r="AD253" s="32"/>
      <c r="AE253" s="32"/>
      <c r="AF253" s="33"/>
      <c r="AG253" s="32"/>
      <c r="AH253" s="33"/>
      <c r="AI253" s="32"/>
      <c r="AJ253" s="33"/>
      <c r="AK253" s="32"/>
      <c r="AL253" s="32"/>
      <c r="AM253" s="33"/>
      <c r="AN253" s="31" t="str">
        <f aca="false">IF(B253="","",IFERROR(INDEX(Lookup!$B$2:$B$3000,MATCH(TRIM(B253),Lookup!$A$2:$A$3000,0)),""))</f>
        <v/>
      </c>
      <c r="AO253" s="42" t="str">
        <f aca="false">IF(B253="","",IF(AN253="","No – will be reviewed","Yes"))</f>
        <v/>
      </c>
      <c r="AP253" s="31" t="str">
        <f aca="false">IF(AN253="","",IFERROR(INDEX(Catalog!$B$5:$B$400,MATCH(AN253,Catalog!$A$5:$A$400,0)),""))</f>
        <v/>
      </c>
      <c r="AQ253" s="31" t="str">
        <f aca="false">IF(AN253="","",IFERROR(INDEX(Catalog!$C$5:$C$400,MATCH(AN253,Catalog!$A$5:$A$400,0)),""))</f>
        <v/>
      </c>
      <c r="AR253" s="31" t="str">
        <f aca="false">IF(AN253="","",IFERROR(INDEX(Catalog!$D$5:$D$400,MATCH(AN253,Catalog!$A$5:$A$400,0)),""))</f>
        <v/>
      </c>
      <c r="AS253" s="31" t="str">
        <f aca="false">IF(AN253="","",IFERROR(INDEX(Catalog!$E$5:$E$400,MATCH(AN253,Catalog!$A$5:$A$400,0)),""))</f>
        <v/>
      </c>
      <c r="AT253" s="44" t="str">
        <f aca="false">IF(AN253="","",IFERROR(INDEX(Catalog!$F$5:$F$400,MATCH(AN253,Catalog!$A$5:$A$400,0)),""))</f>
        <v/>
      </c>
      <c r="AU253" s="31" t="str">
        <f aca="false">IF(AND(B253&lt;&gt;"",ISNUMBER(V253)),V253+ROW()/100000,"")</f>
        <v/>
      </c>
    </row>
    <row r="254" customFormat="false" ht="15" hidden="false" customHeight="false" outlineLevel="0" collapsed="false">
      <c r="A254" s="31" t="str">
        <f aca="false">IF(B254="","",ROW()-5)</f>
        <v/>
      </c>
      <c r="B254" s="32"/>
      <c r="C254" s="32"/>
      <c r="D254" s="32"/>
      <c r="E254" s="32"/>
      <c r="F254" s="32"/>
      <c r="G254" s="32"/>
      <c r="H254" s="33"/>
      <c r="I254" s="33"/>
      <c r="J254" s="32"/>
      <c r="K254" s="33"/>
      <c r="L254" s="32"/>
      <c r="M254" s="34"/>
      <c r="N254" s="34"/>
      <c r="O254" s="35" t="str">
        <f aca="false">IF(OR(M254="",N254="",M254=0),"",N254/M254)</f>
        <v/>
      </c>
      <c r="P254" s="36"/>
      <c r="Q254" s="37"/>
      <c r="R254" s="38" t="str">
        <f aca="false">IF(Q254&lt;&gt;"",Q254,IF(AND(P254&lt;&gt;"",M254&lt;&gt;""),P254*12*M254,""))</f>
        <v/>
      </c>
      <c r="S254" s="32"/>
      <c r="T254" s="32"/>
      <c r="U254" s="39"/>
      <c r="V254" s="39"/>
      <c r="W254" s="34"/>
      <c r="X254" s="32"/>
      <c r="Y254" s="34"/>
      <c r="Z254" s="40" t="str">
        <f aca="false">IF(OR(V254="",Y254=""),"",V254-Y254)</f>
        <v/>
      </c>
      <c r="AA254" s="41" t="str">
        <f aca="true">IF(V254="","",V254-TODAY())</f>
        <v/>
      </c>
      <c r="AB254" s="42" t="str">
        <f aca="false">IF(V254="","",IF(AA254&lt;0,"Past due",IF(AA254&lt;=90,"0–90 days",IF(AA254&lt;=180,"91–180 days",IF(AA254&lt;=365,"181–365 days","Over a year")))))</f>
        <v/>
      </c>
      <c r="AC254" s="43"/>
      <c r="AD254" s="32"/>
      <c r="AE254" s="32"/>
      <c r="AF254" s="33"/>
      <c r="AG254" s="32"/>
      <c r="AH254" s="33"/>
      <c r="AI254" s="32"/>
      <c r="AJ254" s="33"/>
      <c r="AK254" s="32"/>
      <c r="AL254" s="32"/>
      <c r="AM254" s="33"/>
      <c r="AN254" s="31" t="str">
        <f aca="false">IF(B254="","",IFERROR(INDEX(Lookup!$B$2:$B$3000,MATCH(TRIM(B254),Lookup!$A$2:$A$3000,0)),""))</f>
        <v/>
      </c>
      <c r="AO254" s="42" t="str">
        <f aca="false">IF(B254="","",IF(AN254="","No – will be reviewed","Yes"))</f>
        <v/>
      </c>
      <c r="AP254" s="31" t="str">
        <f aca="false">IF(AN254="","",IFERROR(INDEX(Catalog!$B$5:$B$400,MATCH(AN254,Catalog!$A$5:$A$400,0)),""))</f>
        <v/>
      </c>
      <c r="AQ254" s="31" t="str">
        <f aca="false">IF(AN254="","",IFERROR(INDEX(Catalog!$C$5:$C$400,MATCH(AN254,Catalog!$A$5:$A$400,0)),""))</f>
        <v/>
      </c>
      <c r="AR254" s="31" t="str">
        <f aca="false">IF(AN254="","",IFERROR(INDEX(Catalog!$D$5:$D$400,MATCH(AN254,Catalog!$A$5:$A$400,0)),""))</f>
        <v/>
      </c>
      <c r="AS254" s="31" t="str">
        <f aca="false">IF(AN254="","",IFERROR(INDEX(Catalog!$E$5:$E$400,MATCH(AN254,Catalog!$A$5:$A$400,0)),""))</f>
        <v/>
      </c>
      <c r="AT254" s="44" t="str">
        <f aca="false">IF(AN254="","",IFERROR(INDEX(Catalog!$F$5:$F$400,MATCH(AN254,Catalog!$A$5:$A$400,0)),""))</f>
        <v/>
      </c>
      <c r="AU254" s="31" t="str">
        <f aca="false">IF(AND(B254&lt;&gt;"",ISNUMBER(V254)),V254+ROW()/100000,"")</f>
        <v/>
      </c>
    </row>
    <row r="255" customFormat="false" ht="15" hidden="false" customHeight="false" outlineLevel="0" collapsed="false">
      <c r="A255" s="31" t="str">
        <f aca="false">IF(B255="","",ROW()-5)</f>
        <v/>
      </c>
      <c r="B255" s="32"/>
      <c r="C255" s="32"/>
      <c r="D255" s="32"/>
      <c r="E255" s="32"/>
      <c r="F255" s="32"/>
      <c r="G255" s="32"/>
      <c r="H255" s="33"/>
      <c r="I255" s="33"/>
      <c r="J255" s="32"/>
      <c r="K255" s="33"/>
      <c r="L255" s="32"/>
      <c r="M255" s="34"/>
      <c r="N255" s="34"/>
      <c r="O255" s="35" t="str">
        <f aca="false">IF(OR(M255="",N255="",M255=0),"",N255/M255)</f>
        <v/>
      </c>
      <c r="P255" s="36"/>
      <c r="Q255" s="37"/>
      <c r="R255" s="38" t="str">
        <f aca="false">IF(Q255&lt;&gt;"",Q255,IF(AND(P255&lt;&gt;"",M255&lt;&gt;""),P255*12*M255,""))</f>
        <v/>
      </c>
      <c r="S255" s="32"/>
      <c r="T255" s="32"/>
      <c r="U255" s="39"/>
      <c r="V255" s="39"/>
      <c r="W255" s="34"/>
      <c r="X255" s="32"/>
      <c r="Y255" s="34"/>
      <c r="Z255" s="40" t="str">
        <f aca="false">IF(OR(V255="",Y255=""),"",V255-Y255)</f>
        <v/>
      </c>
      <c r="AA255" s="41" t="str">
        <f aca="true">IF(V255="","",V255-TODAY())</f>
        <v/>
      </c>
      <c r="AB255" s="42" t="str">
        <f aca="false">IF(V255="","",IF(AA255&lt;0,"Past due",IF(AA255&lt;=90,"0–90 days",IF(AA255&lt;=180,"91–180 days",IF(AA255&lt;=365,"181–365 days","Over a year")))))</f>
        <v/>
      </c>
      <c r="AC255" s="43"/>
      <c r="AD255" s="32"/>
      <c r="AE255" s="32"/>
      <c r="AF255" s="33"/>
      <c r="AG255" s="32"/>
      <c r="AH255" s="33"/>
      <c r="AI255" s="32"/>
      <c r="AJ255" s="33"/>
      <c r="AK255" s="32"/>
      <c r="AL255" s="32"/>
      <c r="AM255" s="33"/>
      <c r="AN255" s="31" t="str">
        <f aca="false">IF(B255="","",IFERROR(INDEX(Lookup!$B$2:$B$3000,MATCH(TRIM(B255),Lookup!$A$2:$A$3000,0)),""))</f>
        <v/>
      </c>
      <c r="AO255" s="42" t="str">
        <f aca="false">IF(B255="","",IF(AN255="","No – will be reviewed","Yes"))</f>
        <v/>
      </c>
      <c r="AP255" s="31" t="str">
        <f aca="false">IF(AN255="","",IFERROR(INDEX(Catalog!$B$5:$B$400,MATCH(AN255,Catalog!$A$5:$A$400,0)),""))</f>
        <v/>
      </c>
      <c r="AQ255" s="31" t="str">
        <f aca="false">IF(AN255="","",IFERROR(INDEX(Catalog!$C$5:$C$400,MATCH(AN255,Catalog!$A$5:$A$400,0)),""))</f>
        <v/>
      </c>
      <c r="AR255" s="31" t="str">
        <f aca="false">IF(AN255="","",IFERROR(INDEX(Catalog!$D$5:$D$400,MATCH(AN255,Catalog!$A$5:$A$400,0)),""))</f>
        <v/>
      </c>
      <c r="AS255" s="31" t="str">
        <f aca="false">IF(AN255="","",IFERROR(INDEX(Catalog!$E$5:$E$400,MATCH(AN255,Catalog!$A$5:$A$400,0)),""))</f>
        <v/>
      </c>
      <c r="AT255" s="44" t="str">
        <f aca="false">IF(AN255="","",IFERROR(INDEX(Catalog!$F$5:$F$400,MATCH(AN255,Catalog!$A$5:$A$400,0)),""))</f>
        <v/>
      </c>
      <c r="AU255" s="31" t="str">
        <f aca="false">IF(AND(B255&lt;&gt;"",ISNUMBER(V255)),V255+ROW()/100000,"")</f>
        <v/>
      </c>
    </row>
  </sheetData>
  <autoFilter ref="A5:AT255"/>
  <mergeCells count="6">
    <mergeCell ref="A4:D4"/>
    <mergeCell ref="E4:L4"/>
    <mergeCell ref="M4:T4"/>
    <mergeCell ref="U4:AD4"/>
    <mergeCell ref="AE4:AM4"/>
    <mergeCell ref="AN4:AU4"/>
  </mergeCells>
  <conditionalFormatting sqref="AA6:AA255">
    <cfRule type="expression" priority="2" aboveAverage="0" equalAverage="0" bottom="0" percent="0" rank="0" text="" dxfId="13">
      <formula>AND(ISNUMBER(AA6),AA6&lt;0)</formula>
    </cfRule>
    <cfRule type="expression" priority="3" aboveAverage="0" equalAverage="0" bottom="0" percent="0" rank="0" text="" dxfId="14">
      <formula>AND(ISNUMBER(AA6),AA6&lt;=90)</formula>
    </cfRule>
  </conditionalFormatting>
  <conditionalFormatting sqref="AB6:AB255">
    <cfRule type="expression" priority="4" aboveAverage="0" equalAverage="0" bottom="0" percent="0" rank="0" text="" dxfId="13">
      <formula>AB6="Past due"</formula>
    </cfRule>
    <cfRule type="expression" priority="5" aboveAverage="0" equalAverage="0" bottom="0" percent="0" rank="0" text="" dxfId="14">
      <formula>AB6="0–90 days"</formula>
    </cfRule>
  </conditionalFormatting>
  <conditionalFormatting sqref="Z6:Z255">
    <cfRule type="expression" priority="6" aboveAverage="0" equalAverage="0" bottom="0" percent="0" rank="0" text="" dxfId="13">
      <formula>AND(X6="Yes",ISNUMBER(Z6),Z6-TODAY()&lt;=45)</formula>
    </cfRule>
  </conditionalFormatting>
  <conditionalFormatting sqref="O6:O255">
    <cfRule type="expression" priority="7" aboveAverage="0" equalAverage="0" bottom="0" percent="0" rank="0" text="" dxfId="14">
      <formula>AND(ISNUMBER(O6),O6&lt;0.75)</formula>
    </cfRule>
  </conditionalFormatting>
  <conditionalFormatting sqref="AG6:AG255">
    <cfRule type="expression" priority="8" aboveAverage="0" equalAverage="0" bottom="0" percent="0" rank="0" text="" dxfId="15">
      <formula>LEFT(AG6,3)="Yes"</formula>
    </cfRule>
  </conditionalFormatting>
  <conditionalFormatting sqref="AO6:AO255">
    <cfRule type="expression" priority="9" aboveAverage="0" equalAverage="0" bottom="0" percent="0" rank="0" text="" dxfId="14">
      <formula>LEFT(AO6,2)="No"</formula>
    </cfRule>
  </conditionalFormatting>
  <conditionalFormatting sqref="AE6:AE255">
    <cfRule type="expression" priority="10" aboveAverage="0" equalAverage="0" bottom="0" percent="0" rank="0" text="" dxfId="14">
      <formula>AND(ISNUMBER(AE6),AE6&lt;=2)</formula>
    </cfRule>
  </conditionalFormatting>
  <dataValidations count="13">
    <dataValidation allowBlank="true" error="This product isn't in our catalog yet. Keep it: the In catalog? column will flag it for review." errorStyle="information" errorTitle="Not in the list" operator="between" showDropDown="false" showErrorMessage="true" showInputMessage="false" sqref="B6:B255" type="list">
      <formula1>Catalog!$A$5:$A$161</formula1>
      <formula2>0</formula2>
    </dataValidation>
    <dataValidation allowBlank="true" errorStyle="stop" operator="between" showDropDown="false" showErrorMessage="true" showInputMessage="false" sqref="J6:J255" type="list">
      <formula1>Lists!$B$2:$B$5</formula1>
      <formula2>0</formula2>
    </dataValidation>
    <dataValidation allowBlank="true" errorStyle="stop" operator="between" showDropDown="false" showErrorMessage="true" showInputMessage="false" sqref="L6:L255" type="list">
      <formula1>Lists!$C$2:$C$5</formula1>
      <formula2>0</formula2>
    </dataValidation>
    <dataValidation allowBlank="true" errorStyle="stop" operator="between" showDropDown="false" showErrorMessage="true" showInputMessage="false" sqref="S6:S255" type="list">
      <formula1>Lists!$D$2:$D$7</formula1>
      <formula2>0</formula2>
    </dataValidation>
    <dataValidation allowBlank="true" errorStyle="stop" operator="between" showDropDown="false" showErrorMessage="true" showInputMessage="false" sqref="T6:T255" type="list">
      <formula1>Lists!$E$2:$E$7</formula1>
      <formula2>0</formula2>
    </dataValidation>
    <dataValidation allowBlank="true" errorStyle="stop" operator="between" showDropDown="false" showErrorMessage="true" showInputMessage="false" sqref="X6:X255" type="list">
      <formula1>Lists!$A$2:$A$4</formula1>
      <formula2>0</formula2>
    </dataValidation>
    <dataValidation allowBlank="true" errorStyle="stop" operator="between" showDropDown="false" showErrorMessage="true" showInputMessage="false" sqref="AD6:AD255" type="list">
      <formula1>Lists!$A$2:$A$4</formula1>
      <formula2>0</formula2>
    </dataValidation>
    <dataValidation allowBlank="true" errorStyle="stop" operator="between" showDropDown="false" showErrorMessage="true" showInputMessage="false" sqref="AG6:AG255" type="list">
      <formula1>Lists!$G$2:$G$7</formula1>
      <formula2>0</formula2>
    </dataValidation>
    <dataValidation allowBlank="true" errorStyle="stop" operator="between" showDropDown="false" showErrorMessage="true" showInputMessage="false" sqref="AI6:AI255" type="list">
      <formula1>Lists!$H$2:$H$11</formula1>
      <formula2>0</formula2>
    </dataValidation>
    <dataValidation allowBlank="true" errorStyle="stop" operator="between" showDropDown="false" showErrorMessage="true" showInputMessage="false" sqref="AK6:AK255" type="list">
      <formula1>Lists!$I$2:$I$9</formula1>
      <formula2>0</formula2>
    </dataValidation>
    <dataValidation allowBlank="true" error="Enter a whole number from 1 (very unhappy) to 5 (very satisfied)." errorStyle="stop" errorTitle="Satisfaction" operator="between" showDropDown="false" showErrorMessage="true" showInputMessage="false" sqref="AE6:AE255" type="whole">
      <formula1>1</formula1>
      <formula2>5</formula2>
    </dataValidation>
    <dataValidation allowBlank="true" error="Enter a whole number." errorStyle="stop" errorTitle="Number" operator="greaterThanOrEqual" showDropDown="false" showErrorMessage="true" showInputMessage="false" sqref="M6:N255 W6:W255 Y6:Y255" type="whole">
      <formula1>0</formula1>
      <formula2>0</formula2>
    </dataValidation>
    <dataValidation allowBlank="true" error="Enter a date as YYYY-MM-DD." errorStyle="stop" errorTitle="Date" operator="greaterThan" showDropDown="false" showErrorMessage="true" showInputMessage="false" sqref="U6:V255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E9B"/>
    <pageSetUpPr fitToPage="false"/>
  </sheetPr>
  <dimension ref="A1:M2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1" min="10" style="0" width="24"/>
    <col collapsed="false" customWidth="true" hidden="false" outlineLevel="0" max="13" min="12" style="0" width="13"/>
  </cols>
  <sheetData>
    <row r="1" customFormat="false" ht="19.7" hidden="false" customHeight="false" outlineLevel="0" collapsed="false">
      <c r="A1" s="9" t="s">
        <v>152</v>
      </c>
    </row>
    <row r="2" customFormat="false" ht="15" hidden="false" customHeight="false" outlineLevel="0" collapsed="false">
      <c r="A2" s="10" t="s">
        <v>153</v>
      </c>
    </row>
    <row r="4" customFormat="false" ht="30" hidden="false" customHeight="true" outlineLevel="0" collapsed="false">
      <c r="A4" s="46" t="s">
        <v>84</v>
      </c>
      <c r="B4" s="46" t="s">
        <v>154</v>
      </c>
      <c r="C4" s="46" t="s">
        <v>155</v>
      </c>
      <c r="D4" s="46" t="s">
        <v>156</v>
      </c>
      <c r="E4" s="46" t="s">
        <v>78</v>
      </c>
      <c r="F4" s="46" t="s">
        <v>89</v>
      </c>
      <c r="G4" s="46" t="s">
        <v>101</v>
      </c>
      <c r="H4" s="46" t="s">
        <v>107</v>
      </c>
      <c r="I4" s="46" t="s">
        <v>109</v>
      </c>
      <c r="J4" s="46" t="s">
        <v>25</v>
      </c>
      <c r="K4" s="46" t="s">
        <v>157</v>
      </c>
      <c r="L4" s="46" t="s">
        <v>127</v>
      </c>
      <c r="M4" s="46" t="s">
        <v>128</v>
      </c>
    </row>
    <row r="5" customFormat="false" ht="15" hidden="false" customHeight="false" outlineLevel="0" collapsed="false">
      <c r="A5" s="13" t="n">
        <f aca="false">IF(COUNT('ISV Inventory'!$AU$6:$AU$255)&lt;1,"",1)</f>
        <v>1</v>
      </c>
      <c r="B5" s="47" t="n">
        <f aca="false">IF($A5="","",IFERROR(INDEX('ISV Inventory'!$V$6:$V$255,MATCH(SMALL('ISV Inventory'!$AU$6:$AU$255,$A5),'ISV Inventory'!$AU$6:$AU$255,0)),""))</f>
        <v>46346</v>
      </c>
      <c r="C5" s="48" t="n">
        <f aca="false">IF($A5="","",IFERROR(INDEX('ISV Inventory'!$AA$6:$AA$255,MATCH(SMALL('ISV Inventory'!$AU$6:$AU$255,$A5),'ISV Inventory'!$AU$6:$AU$255,0)),""))</f>
        <v>36</v>
      </c>
      <c r="D5" s="13" t="str">
        <f aca="false">IF($A5="","",IFERROR(INDEX('ISV Inventory'!$AB$6:$AB$255,MATCH(SMALL('ISV Inventory'!$AU$6:$AU$255,$A5),'ISV Inventory'!$AU$6:$AU$255,0))&amp;"",""))</f>
        <v>0–90 days</v>
      </c>
      <c r="E5" s="13" t="str">
        <f aca="false">IF($A5="","",IFERROR(INDEX('ISV Inventory'!$B$6:$B$255,MATCH(SMALL('ISV Inventory'!$AU$6:$AU$255,$A5),'ISV Inventory'!$AU$6:$AU$255,0))&amp;"",""))</f>
        <v>Okta Workforce Identity</v>
      </c>
      <c r="F5" s="13" t="str">
        <f aca="false">IF($A5="","",IFERROR(INDEX('ISV Inventory'!$F$6:$F$255,MATCH(SMALL('ISV Inventory'!$AU$6:$AU$255,$A5),'ISV Inventory'!$AU$6:$AU$255,0))&amp;"",""))</f>
        <v>IT Director</v>
      </c>
      <c r="G5" s="49" t="n">
        <f aca="false">IF($A5="","",IFERROR(INDEX('ISV Inventory'!$R$6:$R$255,MATCH(SMALL('ISV Inventory'!$AU$6:$AU$255,$A5),'ISV Inventory'!$AU$6:$AU$255,0)),""))</f>
        <v>58500</v>
      </c>
      <c r="H5" s="13" t="str">
        <f aca="false">IF($A5="","",IFERROR(INDEX('ISV Inventory'!$X$6:$X$255,MATCH(SMALL('ISV Inventory'!$AU$6:$AU$255,$A5),'ISV Inventory'!$AU$6:$AU$255,0))&amp;"",""))</f>
        <v>Yes</v>
      </c>
      <c r="I5" s="47" t="n">
        <f aca="false">IF($A5="","",IFERROR(INDEX('ISV Inventory'!$Z$6:$Z$255,MATCH(SMALL('ISV Inventory'!$AU$6:$AU$255,$A5),'ISV Inventory'!$AU$6:$AU$255,0)),""))</f>
        <v>46316</v>
      </c>
      <c r="J5" s="13" t="str">
        <f aca="false">IF($A5="","",IFERROR(INDEX('ISV Inventory'!$AG$6:$AG$255,MATCH(SMALL('ISV Inventory'!$AU$6:$AU$255,$A5),'ISV Inventory'!$AU$6:$AU$255,0))&amp;"",""))</f>
        <v>Maybe – depends on price</v>
      </c>
      <c r="K5" s="13" t="str">
        <f aca="false">IF($A5="","",IFERROR(INDEX('ISV Inventory'!$AK$6:$AK$255,MATCH(SMALL('ISV Inventory'!$AU$6:$AU$255,$A5),'ISV Inventory'!$AU$6:$AU$255,0))&amp;"",""))</f>
        <v>Renegotiate price</v>
      </c>
      <c r="L5" s="13" t="str">
        <f aca="false">IF($A5="","",IFERROR(INDEX('ISV Inventory'!$AR$6:$AR$255,MATCH(SMALL('ISV Inventory'!$AU$6:$AU$255,$A5),'ISV Inventory'!$AU$6:$AU$255,0))&amp;"",""))</f>
        <v>Listed</v>
      </c>
      <c r="M5" s="13" t="str">
        <f aca="false">IF($A5="","",IFERROR(INDEX('ISV Inventory'!$AS$6:$AS$255,MATCH(SMALL('ISV Inventory'!$AU$6:$AU$255,$A5),'ISV Inventory'!$AU$6:$AU$255,0))&amp;"",""))</f>
        <v>Add-in only</v>
      </c>
    </row>
    <row r="6" customFormat="false" ht="15" hidden="false" customHeight="false" outlineLevel="0" collapsed="false">
      <c r="A6" s="13" t="str">
        <f aca="false">IF(COUNT('ISV Inventory'!$AU$6:$AU$255)&lt;2,"",2)</f>
        <v/>
      </c>
      <c r="B6" s="47" t="str">
        <f aca="false">IF($A6="","",IFERROR(INDEX('ISV Inventory'!$V$6:$V$255,MATCH(SMALL('ISV Inventory'!$AU$6:$AU$255,$A6),'ISV Inventory'!$AU$6:$AU$255,0)),""))</f>
        <v/>
      </c>
      <c r="C6" s="48" t="str">
        <f aca="false">IF($A6="","",IFERROR(INDEX('ISV Inventory'!$AA$6:$AA$255,MATCH(SMALL('ISV Inventory'!$AU$6:$AU$255,$A6),'ISV Inventory'!$AU$6:$AU$255,0)),""))</f>
        <v/>
      </c>
      <c r="D6" s="13" t="str">
        <f aca="false">IF($A6="","",IFERROR(INDEX('ISV Inventory'!$AB$6:$AB$255,MATCH(SMALL('ISV Inventory'!$AU$6:$AU$255,$A6),'ISV Inventory'!$AU$6:$AU$255,0))&amp;"",""))</f>
        <v/>
      </c>
      <c r="E6" s="13" t="str">
        <f aca="false">IF($A6="","",IFERROR(INDEX('ISV Inventory'!$B$6:$B$255,MATCH(SMALL('ISV Inventory'!$AU$6:$AU$255,$A6),'ISV Inventory'!$AU$6:$AU$255,0))&amp;"",""))</f>
        <v/>
      </c>
      <c r="F6" s="13" t="str">
        <f aca="false">IF($A6="","",IFERROR(INDEX('ISV Inventory'!$F$6:$F$255,MATCH(SMALL('ISV Inventory'!$AU$6:$AU$255,$A6),'ISV Inventory'!$AU$6:$AU$255,0))&amp;"",""))</f>
        <v/>
      </c>
      <c r="G6" s="49" t="str">
        <f aca="false">IF($A6="","",IFERROR(INDEX('ISV Inventory'!$R$6:$R$255,MATCH(SMALL('ISV Inventory'!$AU$6:$AU$255,$A6),'ISV Inventory'!$AU$6:$AU$255,0)),""))</f>
        <v/>
      </c>
      <c r="H6" s="13" t="str">
        <f aca="false">IF($A6="","",IFERROR(INDEX('ISV Inventory'!$X$6:$X$255,MATCH(SMALL('ISV Inventory'!$AU$6:$AU$255,$A6),'ISV Inventory'!$AU$6:$AU$255,0))&amp;"",""))</f>
        <v/>
      </c>
      <c r="I6" s="47" t="str">
        <f aca="false">IF($A6="","",IFERROR(INDEX('ISV Inventory'!$Z$6:$Z$255,MATCH(SMALL('ISV Inventory'!$AU$6:$AU$255,$A6),'ISV Inventory'!$AU$6:$AU$255,0)),""))</f>
        <v/>
      </c>
      <c r="J6" s="13" t="str">
        <f aca="false">IF($A6="","",IFERROR(INDEX('ISV Inventory'!$AG$6:$AG$255,MATCH(SMALL('ISV Inventory'!$AU$6:$AU$255,$A6),'ISV Inventory'!$AU$6:$AU$255,0))&amp;"",""))</f>
        <v/>
      </c>
      <c r="K6" s="13" t="str">
        <f aca="false">IF($A6="","",IFERROR(INDEX('ISV Inventory'!$AK$6:$AK$255,MATCH(SMALL('ISV Inventory'!$AU$6:$AU$255,$A6),'ISV Inventory'!$AU$6:$AU$255,0))&amp;"",""))</f>
        <v/>
      </c>
      <c r="L6" s="13" t="str">
        <f aca="false">IF($A6="","",IFERROR(INDEX('ISV Inventory'!$AR$6:$AR$255,MATCH(SMALL('ISV Inventory'!$AU$6:$AU$255,$A6),'ISV Inventory'!$AU$6:$AU$255,0))&amp;"",""))</f>
        <v/>
      </c>
      <c r="M6" s="13" t="str">
        <f aca="false">IF($A6="","",IFERROR(INDEX('ISV Inventory'!$AS$6:$AS$255,MATCH(SMALL('ISV Inventory'!$AU$6:$AU$255,$A6),'ISV Inventory'!$AU$6:$AU$255,0))&amp;"",""))</f>
        <v/>
      </c>
    </row>
    <row r="7" customFormat="false" ht="15" hidden="false" customHeight="false" outlineLevel="0" collapsed="false">
      <c r="A7" s="13" t="str">
        <f aca="false">IF(COUNT('ISV Inventory'!$AU$6:$AU$255)&lt;3,"",3)</f>
        <v/>
      </c>
      <c r="B7" s="47" t="str">
        <f aca="false">IF($A7="","",IFERROR(INDEX('ISV Inventory'!$V$6:$V$255,MATCH(SMALL('ISV Inventory'!$AU$6:$AU$255,$A7),'ISV Inventory'!$AU$6:$AU$255,0)),""))</f>
        <v/>
      </c>
      <c r="C7" s="48" t="str">
        <f aca="false">IF($A7="","",IFERROR(INDEX('ISV Inventory'!$AA$6:$AA$255,MATCH(SMALL('ISV Inventory'!$AU$6:$AU$255,$A7),'ISV Inventory'!$AU$6:$AU$255,0)),""))</f>
        <v/>
      </c>
      <c r="D7" s="13" t="str">
        <f aca="false">IF($A7="","",IFERROR(INDEX('ISV Inventory'!$AB$6:$AB$255,MATCH(SMALL('ISV Inventory'!$AU$6:$AU$255,$A7),'ISV Inventory'!$AU$6:$AU$255,0))&amp;"",""))</f>
        <v/>
      </c>
      <c r="E7" s="13" t="str">
        <f aca="false">IF($A7="","",IFERROR(INDEX('ISV Inventory'!$B$6:$B$255,MATCH(SMALL('ISV Inventory'!$AU$6:$AU$255,$A7),'ISV Inventory'!$AU$6:$AU$255,0))&amp;"",""))</f>
        <v/>
      </c>
      <c r="F7" s="13" t="str">
        <f aca="false">IF($A7="","",IFERROR(INDEX('ISV Inventory'!$F$6:$F$255,MATCH(SMALL('ISV Inventory'!$AU$6:$AU$255,$A7),'ISV Inventory'!$AU$6:$AU$255,0))&amp;"",""))</f>
        <v/>
      </c>
      <c r="G7" s="49" t="str">
        <f aca="false">IF($A7="","",IFERROR(INDEX('ISV Inventory'!$R$6:$R$255,MATCH(SMALL('ISV Inventory'!$AU$6:$AU$255,$A7),'ISV Inventory'!$AU$6:$AU$255,0)),""))</f>
        <v/>
      </c>
      <c r="H7" s="13" t="str">
        <f aca="false">IF($A7="","",IFERROR(INDEX('ISV Inventory'!$X$6:$X$255,MATCH(SMALL('ISV Inventory'!$AU$6:$AU$255,$A7),'ISV Inventory'!$AU$6:$AU$255,0))&amp;"",""))</f>
        <v/>
      </c>
      <c r="I7" s="47" t="str">
        <f aca="false">IF($A7="","",IFERROR(INDEX('ISV Inventory'!$Z$6:$Z$255,MATCH(SMALL('ISV Inventory'!$AU$6:$AU$255,$A7),'ISV Inventory'!$AU$6:$AU$255,0)),""))</f>
        <v/>
      </c>
      <c r="J7" s="13" t="str">
        <f aca="false">IF($A7="","",IFERROR(INDEX('ISV Inventory'!$AG$6:$AG$255,MATCH(SMALL('ISV Inventory'!$AU$6:$AU$255,$A7),'ISV Inventory'!$AU$6:$AU$255,0))&amp;"",""))</f>
        <v/>
      </c>
      <c r="K7" s="13" t="str">
        <f aca="false">IF($A7="","",IFERROR(INDEX('ISV Inventory'!$AK$6:$AK$255,MATCH(SMALL('ISV Inventory'!$AU$6:$AU$255,$A7),'ISV Inventory'!$AU$6:$AU$255,0))&amp;"",""))</f>
        <v/>
      </c>
      <c r="L7" s="13" t="str">
        <f aca="false">IF($A7="","",IFERROR(INDEX('ISV Inventory'!$AR$6:$AR$255,MATCH(SMALL('ISV Inventory'!$AU$6:$AU$255,$A7),'ISV Inventory'!$AU$6:$AU$255,0))&amp;"",""))</f>
        <v/>
      </c>
      <c r="M7" s="13" t="str">
        <f aca="false">IF($A7="","",IFERROR(INDEX('ISV Inventory'!$AS$6:$AS$255,MATCH(SMALL('ISV Inventory'!$AU$6:$AU$255,$A7),'ISV Inventory'!$AU$6:$AU$255,0))&amp;"",""))</f>
        <v/>
      </c>
    </row>
    <row r="8" customFormat="false" ht="15" hidden="false" customHeight="false" outlineLevel="0" collapsed="false">
      <c r="A8" s="13" t="str">
        <f aca="false">IF(COUNT('ISV Inventory'!$AU$6:$AU$255)&lt;4,"",4)</f>
        <v/>
      </c>
      <c r="B8" s="47" t="str">
        <f aca="false">IF($A8="","",IFERROR(INDEX('ISV Inventory'!$V$6:$V$255,MATCH(SMALL('ISV Inventory'!$AU$6:$AU$255,$A8),'ISV Inventory'!$AU$6:$AU$255,0)),""))</f>
        <v/>
      </c>
      <c r="C8" s="48" t="str">
        <f aca="false">IF($A8="","",IFERROR(INDEX('ISV Inventory'!$AA$6:$AA$255,MATCH(SMALL('ISV Inventory'!$AU$6:$AU$255,$A8),'ISV Inventory'!$AU$6:$AU$255,0)),""))</f>
        <v/>
      </c>
      <c r="D8" s="13" t="str">
        <f aca="false">IF($A8="","",IFERROR(INDEX('ISV Inventory'!$AB$6:$AB$255,MATCH(SMALL('ISV Inventory'!$AU$6:$AU$255,$A8),'ISV Inventory'!$AU$6:$AU$255,0))&amp;"",""))</f>
        <v/>
      </c>
      <c r="E8" s="13" t="str">
        <f aca="false">IF($A8="","",IFERROR(INDEX('ISV Inventory'!$B$6:$B$255,MATCH(SMALL('ISV Inventory'!$AU$6:$AU$255,$A8),'ISV Inventory'!$AU$6:$AU$255,0))&amp;"",""))</f>
        <v/>
      </c>
      <c r="F8" s="13" t="str">
        <f aca="false">IF($A8="","",IFERROR(INDEX('ISV Inventory'!$F$6:$F$255,MATCH(SMALL('ISV Inventory'!$AU$6:$AU$255,$A8),'ISV Inventory'!$AU$6:$AU$255,0))&amp;"",""))</f>
        <v/>
      </c>
      <c r="G8" s="49" t="str">
        <f aca="false">IF($A8="","",IFERROR(INDEX('ISV Inventory'!$R$6:$R$255,MATCH(SMALL('ISV Inventory'!$AU$6:$AU$255,$A8),'ISV Inventory'!$AU$6:$AU$255,0)),""))</f>
        <v/>
      </c>
      <c r="H8" s="13" t="str">
        <f aca="false">IF($A8="","",IFERROR(INDEX('ISV Inventory'!$X$6:$X$255,MATCH(SMALL('ISV Inventory'!$AU$6:$AU$255,$A8),'ISV Inventory'!$AU$6:$AU$255,0))&amp;"",""))</f>
        <v/>
      </c>
      <c r="I8" s="47" t="str">
        <f aca="false">IF($A8="","",IFERROR(INDEX('ISV Inventory'!$Z$6:$Z$255,MATCH(SMALL('ISV Inventory'!$AU$6:$AU$255,$A8),'ISV Inventory'!$AU$6:$AU$255,0)),""))</f>
        <v/>
      </c>
      <c r="J8" s="13" t="str">
        <f aca="false">IF($A8="","",IFERROR(INDEX('ISV Inventory'!$AG$6:$AG$255,MATCH(SMALL('ISV Inventory'!$AU$6:$AU$255,$A8),'ISV Inventory'!$AU$6:$AU$255,0))&amp;"",""))</f>
        <v/>
      </c>
      <c r="K8" s="13" t="str">
        <f aca="false">IF($A8="","",IFERROR(INDEX('ISV Inventory'!$AK$6:$AK$255,MATCH(SMALL('ISV Inventory'!$AU$6:$AU$255,$A8),'ISV Inventory'!$AU$6:$AU$255,0))&amp;"",""))</f>
        <v/>
      </c>
      <c r="L8" s="13" t="str">
        <f aca="false">IF($A8="","",IFERROR(INDEX('ISV Inventory'!$AR$6:$AR$255,MATCH(SMALL('ISV Inventory'!$AU$6:$AU$255,$A8),'ISV Inventory'!$AU$6:$AU$255,0))&amp;"",""))</f>
        <v/>
      </c>
      <c r="M8" s="13" t="str">
        <f aca="false">IF($A8="","",IFERROR(INDEX('ISV Inventory'!$AS$6:$AS$255,MATCH(SMALL('ISV Inventory'!$AU$6:$AU$255,$A8),'ISV Inventory'!$AU$6:$AU$255,0))&amp;"",""))</f>
        <v/>
      </c>
    </row>
    <row r="9" customFormat="false" ht="15" hidden="false" customHeight="false" outlineLevel="0" collapsed="false">
      <c r="A9" s="13" t="str">
        <f aca="false">IF(COUNT('ISV Inventory'!$AU$6:$AU$255)&lt;5,"",5)</f>
        <v/>
      </c>
      <c r="B9" s="47" t="str">
        <f aca="false">IF($A9="","",IFERROR(INDEX('ISV Inventory'!$V$6:$V$255,MATCH(SMALL('ISV Inventory'!$AU$6:$AU$255,$A9),'ISV Inventory'!$AU$6:$AU$255,0)),""))</f>
        <v/>
      </c>
      <c r="C9" s="48" t="str">
        <f aca="false">IF($A9="","",IFERROR(INDEX('ISV Inventory'!$AA$6:$AA$255,MATCH(SMALL('ISV Inventory'!$AU$6:$AU$255,$A9),'ISV Inventory'!$AU$6:$AU$255,0)),""))</f>
        <v/>
      </c>
      <c r="D9" s="13" t="str">
        <f aca="false">IF($A9="","",IFERROR(INDEX('ISV Inventory'!$AB$6:$AB$255,MATCH(SMALL('ISV Inventory'!$AU$6:$AU$255,$A9),'ISV Inventory'!$AU$6:$AU$255,0))&amp;"",""))</f>
        <v/>
      </c>
      <c r="E9" s="13" t="str">
        <f aca="false">IF($A9="","",IFERROR(INDEX('ISV Inventory'!$B$6:$B$255,MATCH(SMALL('ISV Inventory'!$AU$6:$AU$255,$A9),'ISV Inventory'!$AU$6:$AU$255,0))&amp;"",""))</f>
        <v/>
      </c>
      <c r="F9" s="13" t="str">
        <f aca="false">IF($A9="","",IFERROR(INDEX('ISV Inventory'!$F$6:$F$255,MATCH(SMALL('ISV Inventory'!$AU$6:$AU$255,$A9),'ISV Inventory'!$AU$6:$AU$255,0))&amp;"",""))</f>
        <v/>
      </c>
      <c r="G9" s="49" t="str">
        <f aca="false">IF($A9="","",IFERROR(INDEX('ISV Inventory'!$R$6:$R$255,MATCH(SMALL('ISV Inventory'!$AU$6:$AU$255,$A9),'ISV Inventory'!$AU$6:$AU$255,0)),""))</f>
        <v/>
      </c>
      <c r="H9" s="13" t="str">
        <f aca="false">IF($A9="","",IFERROR(INDEX('ISV Inventory'!$X$6:$X$255,MATCH(SMALL('ISV Inventory'!$AU$6:$AU$255,$A9),'ISV Inventory'!$AU$6:$AU$255,0))&amp;"",""))</f>
        <v/>
      </c>
      <c r="I9" s="47" t="str">
        <f aca="false">IF($A9="","",IFERROR(INDEX('ISV Inventory'!$Z$6:$Z$255,MATCH(SMALL('ISV Inventory'!$AU$6:$AU$255,$A9),'ISV Inventory'!$AU$6:$AU$255,0)),""))</f>
        <v/>
      </c>
      <c r="J9" s="13" t="str">
        <f aca="false">IF($A9="","",IFERROR(INDEX('ISV Inventory'!$AG$6:$AG$255,MATCH(SMALL('ISV Inventory'!$AU$6:$AU$255,$A9),'ISV Inventory'!$AU$6:$AU$255,0))&amp;"",""))</f>
        <v/>
      </c>
      <c r="K9" s="13" t="str">
        <f aca="false">IF($A9="","",IFERROR(INDEX('ISV Inventory'!$AK$6:$AK$255,MATCH(SMALL('ISV Inventory'!$AU$6:$AU$255,$A9),'ISV Inventory'!$AU$6:$AU$255,0))&amp;"",""))</f>
        <v/>
      </c>
      <c r="L9" s="13" t="str">
        <f aca="false">IF($A9="","",IFERROR(INDEX('ISV Inventory'!$AR$6:$AR$255,MATCH(SMALL('ISV Inventory'!$AU$6:$AU$255,$A9),'ISV Inventory'!$AU$6:$AU$255,0))&amp;"",""))</f>
        <v/>
      </c>
      <c r="M9" s="13" t="str">
        <f aca="false">IF($A9="","",IFERROR(INDEX('ISV Inventory'!$AS$6:$AS$255,MATCH(SMALL('ISV Inventory'!$AU$6:$AU$255,$A9),'ISV Inventory'!$AU$6:$AU$255,0))&amp;"",""))</f>
        <v/>
      </c>
    </row>
    <row r="10" customFormat="false" ht="15" hidden="false" customHeight="false" outlineLevel="0" collapsed="false">
      <c r="A10" s="13" t="str">
        <f aca="false">IF(COUNT('ISV Inventory'!$AU$6:$AU$255)&lt;6,"",6)</f>
        <v/>
      </c>
      <c r="B10" s="47" t="str">
        <f aca="false">IF($A10="","",IFERROR(INDEX('ISV Inventory'!$V$6:$V$255,MATCH(SMALL('ISV Inventory'!$AU$6:$AU$255,$A10),'ISV Inventory'!$AU$6:$AU$255,0)),""))</f>
        <v/>
      </c>
      <c r="C10" s="48" t="str">
        <f aca="false">IF($A10="","",IFERROR(INDEX('ISV Inventory'!$AA$6:$AA$255,MATCH(SMALL('ISV Inventory'!$AU$6:$AU$255,$A10),'ISV Inventory'!$AU$6:$AU$255,0)),""))</f>
        <v/>
      </c>
      <c r="D10" s="13" t="str">
        <f aca="false">IF($A10="","",IFERROR(INDEX('ISV Inventory'!$AB$6:$AB$255,MATCH(SMALL('ISV Inventory'!$AU$6:$AU$255,$A10),'ISV Inventory'!$AU$6:$AU$255,0))&amp;"",""))</f>
        <v/>
      </c>
      <c r="E10" s="13" t="str">
        <f aca="false">IF($A10="","",IFERROR(INDEX('ISV Inventory'!$B$6:$B$255,MATCH(SMALL('ISV Inventory'!$AU$6:$AU$255,$A10),'ISV Inventory'!$AU$6:$AU$255,0))&amp;"",""))</f>
        <v/>
      </c>
      <c r="F10" s="13" t="str">
        <f aca="false">IF($A10="","",IFERROR(INDEX('ISV Inventory'!$F$6:$F$255,MATCH(SMALL('ISV Inventory'!$AU$6:$AU$255,$A10),'ISV Inventory'!$AU$6:$AU$255,0))&amp;"",""))</f>
        <v/>
      </c>
      <c r="G10" s="49" t="str">
        <f aca="false">IF($A10="","",IFERROR(INDEX('ISV Inventory'!$R$6:$R$255,MATCH(SMALL('ISV Inventory'!$AU$6:$AU$255,$A10),'ISV Inventory'!$AU$6:$AU$255,0)),""))</f>
        <v/>
      </c>
      <c r="H10" s="13" t="str">
        <f aca="false">IF($A10="","",IFERROR(INDEX('ISV Inventory'!$X$6:$X$255,MATCH(SMALL('ISV Inventory'!$AU$6:$AU$255,$A10),'ISV Inventory'!$AU$6:$AU$255,0))&amp;"",""))</f>
        <v/>
      </c>
      <c r="I10" s="47" t="str">
        <f aca="false">IF($A10="","",IFERROR(INDEX('ISV Inventory'!$Z$6:$Z$255,MATCH(SMALL('ISV Inventory'!$AU$6:$AU$255,$A10),'ISV Inventory'!$AU$6:$AU$255,0)),""))</f>
        <v/>
      </c>
      <c r="J10" s="13" t="str">
        <f aca="false">IF($A10="","",IFERROR(INDEX('ISV Inventory'!$AG$6:$AG$255,MATCH(SMALL('ISV Inventory'!$AU$6:$AU$255,$A10),'ISV Inventory'!$AU$6:$AU$255,0))&amp;"",""))</f>
        <v/>
      </c>
      <c r="K10" s="13" t="str">
        <f aca="false">IF($A10="","",IFERROR(INDEX('ISV Inventory'!$AK$6:$AK$255,MATCH(SMALL('ISV Inventory'!$AU$6:$AU$255,$A10),'ISV Inventory'!$AU$6:$AU$255,0))&amp;"",""))</f>
        <v/>
      </c>
      <c r="L10" s="13" t="str">
        <f aca="false">IF($A10="","",IFERROR(INDEX('ISV Inventory'!$AR$6:$AR$255,MATCH(SMALL('ISV Inventory'!$AU$6:$AU$255,$A10),'ISV Inventory'!$AU$6:$AU$255,0))&amp;"",""))</f>
        <v/>
      </c>
      <c r="M10" s="13" t="str">
        <f aca="false">IF($A10="","",IFERROR(INDEX('ISV Inventory'!$AS$6:$AS$255,MATCH(SMALL('ISV Inventory'!$AU$6:$AU$255,$A10),'ISV Inventory'!$AU$6:$AU$255,0))&amp;"",""))</f>
        <v/>
      </c>
    </row>
    <row r="11" customFormat="false" ht="15" hidden="false" customHeight="false" outlineLevel="0" collapsed="false">
      <c r="A11" s="13" t="str">
        <f aca="false">IF(COUNT('ISV Inventory'!$AU$6:$AU$255)&lt;7,"",7)</f>
        <v/>
      </c>
      <c r="B11" s="47" t="str">
        <f aca="false">IF($A11="","",IFERROR(INDEX('ISV Inventory'!$V$6:$V$255,MATCH(SMALL('ISV Inventory'!$AU$6:$AU$255,$A11),'ISV Inventory'!$AU$6:$AU$255,0)),""))</f>
        <v/>
      </c>
      <c r="C11" s="48" t="str">
        <f aca="false">IF($A11="","",IFERROR(INDEX('ISV Inventory'!$AA$6:$AA$255,MATCH(SMALL('ISV Inventory'!$AU$6:$AU$255,$A11),'ISV Inventory'!$AU$6:$AU$255,0)),""))</f>
        <v/>
      </c>
      <c r="D11" s="13" t="str">
        <f aca="false">IF($A11="","",IFERROR(INDEX('ISV Inventory'!$AB$6:$AB$255,MATCH(SMALL('ISV Inventory'!$AU$6:$AU$255,$A11),'ISV Inventory'!$AU$6:$AU$255,0))&amp;"",""))</f>
        <v/>
      </c>
      <c r="E11" s="13" t="str">
        <f aca="false">IF($A11="","",IFERROR(INDEX('ISV Inventory'!$B$6:$B$255,MATCH(SMALL('ISV Inventory'!$AU$6:$AU$255,$A11),'ISV Inventory'!$AU$6:$AU$255,0))&amp;"",""))</f>
        <v/>
      </c>
      <c r="F11" s="13" t="str">
        <f aca="false">IF($A11="","",IFERROR(INDEX('ISV Inventory'!$F$6:$F$255,MATCH(SMALL('ISV Inventory'!$AU$6:$AU$255,$A11),'ISV Inventory'!$AU$6:$AU$255,0))&amp;"",""))</f>
        <v/>
      </c>
      <c r="G11" s="49" t="str">
        <f aca="false">IF($A11="","",IFERROR(INDEX('ISV Inventory'!$R$6:$R$255,MATCH(SMALL('ISV Inventory'!$AU$6:$AU$255,$A11),'ISV Inventory'!$AU$6:$AU$255,0)),""))</f>
        <v/>
      </c>
      <c r="H11" s="13" t="str">
        <f aca="false">IF($A11="","",IFERROR(INDEX('ISV Inventory'!$X$6:$X$255,MATCH(SMALL('ISV Inventory'!$AU$6:$AU$255,$A11),'ISV Inventory'!$AU$6:$AU$255,0))&amp;"",""))</f>
        <v/>
      </c>
      <c r="I11" s="47" t="str">
        <f aca="false">IF($A11="","",IFERROR(INDEX('ISV Inventory'!$Z$6:$Z$255,MATCH(SMALL('ISV Inventory'!$AU$6:$AU$255,$A11),'ISV Inventory'!$AU$6:$AU$255,0)),""))</f>
        <v/>
      </c>
      <c r="J11" s="13" t="str">
        <f aca="false">IF($A11="","",IFERROR(INDEX('ISV Inventory'!$AG$6:$AG$255,MATCH(SMALL('ISV Inventory'!$AU$6:$AU$255,$A11),'ISV Inventory'!$AU$6:$AU$255,0))&amp;"",""))</f>
        <v/>
      </c>
      <c r="K11" s="13" t="str">
        <f aca="false">IF($A11="","",IFERROR(INDEX('ISV Inventory'!$AK$6:$AK$255,MATCH(SMALL('ISV Inventory'!$AU$6:$AU$255,$A11),'ISV Inventory'!$AU$6:$AU$255,0))&amp;"",""))</f>
        <v/>
      </c>
      <c r="L11" s="13" t="str">
        <f aca="false">IF($A11="","",IFERROR(INDEX('ISV Inventory'!$AR$6:$AR$255,MATCH(SMALL('ISV Inventory'!$AU$6:$AU$255,$A11),'ISV Inventory'!$AU$6:$AU$255,0))&amp;"",""))</f>
        <v/>
      </c>
      <c r="M11" s="13" t="str">
        <f aca="false">IF($A11="","",IFERROR(INDEX('ISV Inventory'!$AS$6:$AS$255,MATCH(SMALL('ISV Inventory'!$AU$6:$AU$255,$A11),'ISV Inventory'!$AU$6:$AU$255,0))&amp;"",""))</f>
        <v/>
      </c>
    </row>
    <row r="12" customFormat="false" ht="15" hidden="false" customHeight="false" outlineLevel="0" collapsed="false">
      <c r="A12" s="13" t="str">
        <f aca="false">IF(COUNT('ISV Inventory'!$AU$6:$AU$255)&lt;8,"",8)</f>
        <v/>
      </c>
      <c r="B12" s="47" t="str">
        <f aca="false">IF($A12="","",IFERROR(INDEX('ISV Inventory'!$V$6:$V$255,MATCH(SMALL('ISV Inventory'!$AU$6:$AU$255,$A12),'ISV Inventory'!$AU$6:$AU$255,0)),""))</f>
        <v/>
      </c>
      <c r="C12" s="48" t="str">
        <f aca="false">IF($A12="","",IFERROR(INDEX('ISV Inventory'!$AA$6:$AA$255,MATCH(SMALL('ISV Inventory'!$AU$6:$AU$255,$A12),'ISV Inventory'!$AU$6:$AU$255,0)),""))</f>
        <v/>
      </c>
      <c r="D12" s="13" t="str">
        <f aca="false">IF($A12="","",IFERROR(INDEX('ISV Inventory'!$AB$6:$AB$255,MATCH(SMALL('ISV Inventory'!$AU$6:$AU$255,$A12),'ISV Inventory'!$AU$6:$AU$255,0))&amp;"",""))</f>
        <v/>
      </c>
      <c r="E12" s="13" t="str">
        <f aca="false">IF($A12="","",IFERROR(INDEX('ISV Inventory'!$B$6:$B$255,MATCH(SMALL('ISV Inventory'!$AU$6:$AU$255,$A12),'ISV Inventory'!$AU$6:$AU$255,0))&amp;"",""))</f>
        <v/>
      </c>
      <c r="F12" s="13" t="str">
        <f aca="false">IF($A12="","",IFERROR(INDEX('ISV Inventory'!$F$6:$F$255,MATCH(SMALL('ISV Inventory'!$AU$6:$AU$255,$A12),'ISV Inventory'!$AU$6:$AU$255,0))&amp;"",""))</f>
        <v/>
      </c>
      <c r="G12" s="49" t="str">
        <f aca="false">IF($A12="","",IFERROR(INDEX('ISV Inventory'!$R$6:$R$255,MATCH(SMALL('ISV Inventory'!$AU$6:$AU$255,$A12),'ISV Inventory'!$AU$6:$AU$255,0)),""))</f>
        <v/>
      </c>
      <c r="H12" s="13" t="str">
        <f aca="false">IF($A12="","",IFERROR(INDEX('ISV Inventory'!$X$6:$X$255,MATCH(SMALL('ISV Inventory'!$AU$6:$AU$255,$A12),'ISV Inventory'!$AU$6:$AU$255,0))&amp;"",""))</f>
        <v/>
      </c>
      <c r="I12" s="47" t="str">
        <f aca="false">IF($A12="","",IFERROR(INDEX('ISV Inventory'!$Z$6:$Z$255,MATCH(SMALL('ISV Inventory'!$AU$6:$AU$255,$A12),'ISV Inventory'!$AU$6:$AU$255,0)),""))</f>
        <v/>
      </c>
      <c r="J12" s="13" t="str">
        <f aca="false">IF($A12="","",IFERROR(INDEX('ISV Inventory'!$AG$6:$AG$255,MATCH(SMALL('ISV Inventory'!$AU$6:$AU$255,$A12),'ISV Inventory'!$AU$6:$AU$255,0))&amp;"",""))</f>
        <v/>
      </c>
      <c r="K12" s="13" t="str">
        <f aca="false">IF($A12="","",IFERROR(INDEX('ISV Inventory'!$AK$6:$AK$255,MATCH(SMALL('ISV Inventory'!$AU$6:$AU$255,$A12),'ISV Inventory'!$AU$6:$AU$255,0))&amp;"",""))</f>
        <v/>
      </c>
      <c r="L12" s="13" t="str">
        <f aca="false">IF($A12="","",IFERROR(INDEX('ISV Inventory'!$AR$6:$AR$255,MATCH(SMALL('ISV Inventory'!$AU$6:$AU$255,$A12),'ISV Inventory'!$AU$6:$AU$255,0))&amp;"",""))</f>
        <v/>
      </c>
      <c r="M12" s="13" t="str">
        <f aca="false">IF($A12="","",IFERROR(INDEX('ISV Inventory'!$AS$6:$AS$255,MATCH(SMALL('ISV Inventory'!$AU$6:$AU$255,$A12),'ISV Inventory'!$AU$6:$AU$255,0))&amp;"",""))</f>
        <v/>
      </c>
    </row>
    <row r="13" customFormat="false" ht="15" hidden="false" customHeight="false" outlineLevel="0" collapsed="false">
      <c r="A13" s="13" t="str">
        <f aca="false">IF(COUNT('ISV Inventory'!$AU$6:$AU$255)&lt;9,"",9)</f>
        <v/>
      </c>
      <c r="B13" s="47" t="str">
        <f aca="false">IF($A13="","",IFERROR(INDEX('ISV Inventory'!$V$6:$V$255,MATCH(SMALL('ISV Inventory'!$AU$6:$AU$255,$A13),'ISV Inventory'!$AU$6:$AU$255,0)),""))</f>
        <v/>
      </c>
      <c r="C13" s="48" t="str">
        <f aca="false">IF($A13="","",IFERROR(INDEX('ISV Inventory'!$AA$6:$AA$255,MATCH(SMALL('ISV Inventory'!$AU$6:$AU$255,$A13),'ISV Inventory'!$AU$6:$AU$255,0)),""))</f>
        <v/>
      </c>
      <c r="D13" s="13" t="str">
        <f aca="false">IF($A13="","",IFERROR(INDEX('ISV Inventory'!$AB$6:$AB$255,MATCH(SMALL('ISV Inventory'!$AU$6:$AU$255,$A13),'ISV Inventory'!$AU$6:$AU$255,0))&amp;"",""))</f>
        <v/>
      </c>
      <c r="E13" s="13" t="str">
        <f aca="false">IF($A13="","",IFERROR(INDEX('ISV Inventory'!$B$6:$B$255,MATCH(SMALL('ISV Inventory'!$AU$6:$AU$255,$A13),'ISV Inventory'!$AU$6:$AU$255,0))&amp;"",""))</f>
        <v/>
      </c>
      <c r="F13" s="13" t="str">
        <f aca="false">IF($A13="","",IFERROR(INDEX('ISV Inventory'!$F$6:$F$255,MATCH(SMALL('ISV Inventory'!$AU$6:$AU$255,$A13),'ISV Inventory'!$AU$6:$AU$255,0))&amp;"",""))</f>
        <v/>
      </c>
      <c r="G13" s="49" t="str">
        <f aca="false">IF($A13="","",IFERROR(INDEX('ISV Inventory'!$R$6:$R$255,MATCH(SMALL('ISV Inventory'!$AU$6:$AU$255,$A13),'ISV Inventory'!$AU$6:$AU$255,0)),""))</f>
        <v/>
      </c>
      <c r="H13" s="13" t="str">
        <f aca="false">IF($A13="","",IFERROR(INDEX('ISV Inventory'!$X$6:$X$255,MATCH(SMALL('ISV Inventory'!$AU$6:$AU$255,$A13),'ISV Inventory'!$AU$6:$AU$255,0))&amp;"",""))</f>
        <v/>
      </c>
      <c r="I13" s="47" t="str">
        <f aca="false">IF($A13="","",IFERROR(INDEX('ISV Inventory'!$Z$6:$Z$255,MATCH(SMALL('ISV Inventory'!$AU$6:$AU$255,$A13),'ISV Inventory'!$AU$6:$AU$255,0)),""))</f>
        <v/>
      </c>
      <c r="J13" s="13" t="str">
        <f aca="false">IF($A13="","",IFERROR(INDEX('ISV Inventory'!$AG$6:$AG$255,MATCH(SMALL('ISV Inventory'!$AU$6:$AU$255,$A13),'ISV Inventory'!$AU$6:$AU$255,0))&amp;"",""))</f>
        <v/>
      </c>
      <c r="K13" s="13" t="str">
        <f aca="false">IF($A13="","",IFERROR(INDEX('ISV Inventory'!$AK$6:$AK$255,MATCH(SMALL('ISV Inventory'!$AU$6:$AU$255,$A13),'ISV Inventory'!$AU$6:$AU$255,0))&amp;"",""))</f>
        <v/>
      </c>
      <c r="L13" s="13" t="str">
        <f aca="false">IF($A13="","",IFERROR(INDEX('ISV Inventory'!$AR$6:$AR$255,MATCH(SMALL('ISV Inventory'!$AU$6:$AU$255,$A13),'ISV Inventory'!$AU$6:$AU$255,0))&amp;"",""))</f>
        <v/>
      </c>
      <c r="M13" s="13" t="str">
        <f aca="false">IF($A13="","",IFERROR(INDEX('ISV Inventory'!$AS$6:$AS$255,MATCH(SMALL('ISV Inventory'!$AU$6:$AU$255,$A13),'ISV Inventory'!$AU$6:$AU$255,0))&amp;"",""))</f>
        <v/>
      </c>
    </row>
    <row r="14" customFormat="false" ht="15" hidden="false" customHeight="false" outlineLevel="0" collapsed="false">
      <c r="A14" s="13" t="str">
        <f aca="false">IF(COUNT('ISV Inventory'!$AU$6:$AU$255)&lt;10,"",10)</f>
        <v/>
      </c>
      <c r="B14" s="47" t="str">
        <f aca="false">IF($A14="","",IFERROR(INDEX('ISV Inventory'!$V$6:$V$255,MATCH(SMALL('ISV Inventory'!$AU$6:$AU$255,$A14),'ISV Inventory'!$AU$6:$AU$255,0)),""))</f>
        <v/>
      </c>
      <c r="C14" s="48" t="str">
        <f aca="false">IF($A14="","",IFERROR(INDEX('ISV Inventory'!$AA$6:$AA$255,MATCH(SMALL('ISV Inventory'!$AU$6:$AU$255,$A14),'ISV Inventory'!$AU$6:$AU$255,0)),""))</f>
        <v/>
      </c>
      <c r="D14" s="13" t="str">
        <f aca="false">IF($A14="","",IFERROR(INDEX('ISV Inventory'!$AB$6:$AB$255,MATCH(SMALL('ISV Inventory'!$AU$6:$AU$255,$A14),'ISV Inventory'!$AU$6:$AU$255,0))&amp;"",""))</f>
        <v/>
      </c>
      <c r="E14" s="13" t="str">
        <f aca="false">IF($A14="","",IFERROR(INDEX('ISV Inventory'!$B$6:$B$255,MATCH(SMALL('ISV Inventory'!$AU$6:$AU$255,$A14),'ISV Inventory'!$AU$6:$AU$255,0))&amp;"",""))</f>
        <v/>
      </c>
      <c r="F14" s="13" t="str">
        <f aca="false">IF($A14="","",IFERROR(INDEX('ISV Inventory'!$F$6:$F$255,MATCH(SMALL('ISV Inventory'!$AU$6:$AU$255,$A14),'ISV Inventory'!$AU$6:$AU$255,0))&amp;"",""))</f>
        <v/>
      </c>
      <c r="G14" s="49" t="str">
        <f aca="false">IF($A14="","",IFERROR(INDEX('ISV Inventory'!$R$6:$R$255,MATCH(SMALL('ISV Inventory'!$AU$6:$AU$255,$A14),'ISV Inventory'!$AU$6:$AU$255,0)),""))</f>
        <v/>
      </c>
      <c r="H14" s="13" t="str">
        <f aca="false">IF($A14="","",IFERROR(INDEX('ISV Inventory'!$X$6:$X$255,MATCH(SMALL('ISV Inventory'!$AU$6:$AU$255,$A14),'ISV Inventory'!$AU$6:$AU$255,0))&amp;"",""))</f>
        <v/>
      </c>
      <c r="I14" s="47" t="str">
        <f aca="false">IF($A14="","",IFERROR(INDEX('ISV Inventory'!$Z$6:$Z$255,MATCH(SMALL('ISV Inventory'!$AU$6:$AU$255,$A14),'ISV Inventory'!$AU$6:$AU$255,0)),""))</f>
        <v/>
      </c>
      <c r="J14" s="13" t="str">
        <f aca="false">IF($A14="","",IFERROR(INDEX('ISV Inventory'!$AG$6:$AG$255,MATCH(SMALL('ISV Inventory'!$AU$6:$AU$255,$A14),'ISV Inventory'!$AU$6:$AU$255,0))&amp;"",""))</f>
        <v/>
      </c>
      <c r="K14" s="13" t="str">
        <f aca="false">IF($A14="","",IFERROR(INDEX('ISV Inventory'!$AK$6:$AK$255,MATCH(SMALL('ISV Inventory'!$AU$6:$AU$255,$A14),'ISV Inventory'!$AU$6:$AU$255,0))&amp;"",""))</f>
        <v/>
      </c>
      <c r="L14" s="13" t="str">
        <f aca="false">IF($A14="","",IFERROR(INDEX('ISV Inventory'!$AR$6:$AR$255,MATCH(SMALL('ISV Inventory'!$AU$6:$AU$255,$A14),'ISV Inventory'!$AU$6:$AU$255,0))&amp;"",""))</f>
        <v/>
      </c>
      <c r="M14" s="13" t="str">
        <f aca="false">IF($A14="","",IFERROR(INDEX('ISV Inventory'!$AS$6:$AS$255,MATCH(SMALL('ISV Inventory'!$AU$6:$AU$255,$A14),'ISV Inventory'!$AU$6:$AU$255,0))&amp;"",""))</f>
        <v/>
      </c>
    </row>
    <row r="15" customFormat="false" ht="15" hidden="false" customHeight="false" outlineLevel="0" collapsed="false">
      <c r="A15" s="13" t="str">
        <f aca="false">IF(COUNT('ISV Inventory'!$AU$6:$AU$255)&lt;11,"",11)</f>
        <v/>
      </c>
      <c r="B15" s="47" t="str">
        <f aca="false">IF($A15="","",IFERROR(INDEX('ISV Inventory'!$V$6:$V$255,MATCH(SMALL('ISV Inventory'!$AU$6:$AU$255,$A15),'ISV Inventory'!$AU$6:$AU$255,0)),""))</f>
        <v/>
      </c>
      <c r="C15" s="48" t="str">
        <f aca="false">IF($A15="","",IFERROR(INDEX('ISV Inventory'!$AA$6:$AA$255,MATCH(SMALL('ISV Inventory'!$AU$6:$AU$255,$A15),'ISV Inventory'!$AU$6:$AU$255,0)),""))</f>
        <v/>
      </c>
      <c r="D15" s="13" t="str">
        <f aca="false">IF($A15="","",IFERROR(INDEX('ISV Inventory'!$AB$6:$AB$255,MATCH(SMALL('ISV Inventory'!$AU$6:$AU$255,$A15),'ISV Inventory'!$AU$6:$AU$255,0))&amp;"",""))</f>
        <v/>
      </c>
      <c r="E15" s="13" t="str">
        <f aca="false">IF($A15="","",IFERROR(INDEX('ISV Inventory'!$B$6:$B$255,MATCH(SMALL('ISV Inventory'!$AU$6:$AU$255,$A15),'ISV Inventory'!$AU$6:$AU$255,0))&amp;"",""))</f>
        <v/>
      </c>
      <c r="F15" s="13" t="str">
        <f aca="false">IF($A15="","",IFERROR(INDEX('ISV Inventory'!$F$6:$F$255,MATCH(SMALL('ISV Inventory'!$AU$6:$AU$255,$A15),'ISV Inventory'!$AU$6:$AU$255,0))&amp;"",""))</f>
        <v/>
      </c>
      <c r="G15" s="49" t="str">
        <f aca="false">IF($A15="","",IFERROR(INDEX('ISV Inventory'!$R$6:$R$255,MATCH(SMALL('ISV Inventory'!$AU$6:$AU$255,$A15),'ISV Inventory'!$AU$6:$AU$255,0)),""))</f>
        <v/>
      </c>
      <c r="H15" s="13" t="str">
        <f aca="false">IF($A15="","",IFERROR(INDEX('ISV Inventory'!$X$6:$X$255,MATCH(SMALL('ISV Inventory'!$AU$6:$AU$255,$A15),'ISV Inventory'!$AU$6:$AU$255,0))&amp;"",""))</f>
        <v/>
      </c>
      <c r="I15" s="47" t="str">
        <f aca="false">IF($A15="","",IFERROR(INDEX('ISV Inventory'!$Z$6:$Z$255,MATCH(SMALL('ISV Inventory'!$AU$6:$AU$255,$A15),'ISV Inventory'!$AU$6:$AU$255,0)),""))</f>
        <v/>
      </c>
      <c r="J15" s="13" t="str">
        <f aca="false">IF($A15="","",IFERROR(INDEX('ISV Inventory'!$AG$6:$AG$255,MATCH(SMALL('ISV Inventory'!$AU$6:$AU$255,$A15),'ISV Inventory'!$AU$6:$AU$255,0))&amp;"",""))</f>
        <v/>
      </c>
      <c r="K15" s="13" t="str">
        <f aca="false">IF($A15="","",IFERROR(INDEX('ISV Inventory'!$AK$6:$AK$255,MATCH(SMALL('ISV Inventory'!$AU$6:$AU$255,$A15),'ISV Inventory'!$AU$6:$AU$255,0))&amp;"",""))</f>
        <v/>
      </c>
      <c r="L15" s="13" t="str">
        <f aca="false">IF($A15="","",IFERROR(INDEX('ISV Inventory'!$AR$6:$AR$255,MATCH(SMALL('ISV Inventory'!$AU$6:$AU$255,$A15),'ISV Inventory'!$AU$6:$AU$255,0))&amp;"",""))</f>
        <v/>
      </c>
      <c r="M15" s="13" t="str">
        <f aca="false">IF($A15="","",IFERROR(INDEX('ISV Inventory'!$AS$6:$AS$255,MATCH(SMALL('ISV Inventory'!$AU$6:$AU$255,$A15),'ISV Inventory'!$AU$6:$AU$255,0))&amp;"",""))</f>
        <v/>
      </c>
    </row>
    <row r="16" customFormat="false" ht="15" hidden="false" customHeight="false" outlineLevel="0" collapsed="false">
      <c r="A16" s="13" t="str">
        <f aca="false">IF(COUNT('ISV Inventory'!$AU$6:$AU$255)&lt;12,"",12)</f>
        <v/>
      </c>
      <c r="B16" s="47" t="str">
        <f aca="false">IF($A16="","",IFERROR(INDEX('ISV Inventory'!$V$6:$V$255,MATCH(SMALL('ISV Inventory'!$AU$6:$AU$255,$A16),'ISV Inventory'!$AU$6:$AU$255,0)),""))</f>
        <v/>
      </c>
      <c r="C16" s="48" t="str">
        <f aca="false">IF($A16="","",IFERROR(INDEX('ISV Inventory'!$AA$6:$AA$255,MATCH(SMALL('ISV Inventory'!$AU$6:$AU$255,$A16),'ISV Inventory'!$AU$6:$AU$255,0)),""))</f>
        <v/>
      </c>
      <c r="D16" s="13" t="str">
        <f aca="false">IF($A16="","",IFERROR(INDEX('ISV Inventory'!$AB$6:$AB$255,MATCH(SMALL('ISV Inventory'!$AU$6:$AU$255,$A16),'ISV Inventory'!$AU$6:$AU$255,0))&amp;"",""))</f>
        <v/>
      </c>
      <c r="E16" s="13" t="str">
        <f aca="false">IF($A16="","",IFERROR(INDEX('ISV Inventory'!$B$6:$B$255,MATCH(SMALL('ISV Inventory'!$AU$6:$AU$255,$A16),'ISV Inventory'!$AU$6:$AU$255,0))&amp;"",""))</f>
        <v/>
      </c>
      <c r="F16" s="13" t="str">
        <f aca="false">IF($A16="","",IFERROR(INDEX('ISV Inventory'!$F$6:$F$255,MATCH(SMALL('ISV Inventory'!$AU$6:$AU$255,$A16),'ISV Inventory'!$AU$6:$AU$255,0))&amp;"",""))</f>
        <v/>
      </c>
      <c r="G16" s="49" t="str">
        <f aca="false">IF($A16="","",IFERROR(INDEX('ISV Inventory'!$R$6:$R$255,MATCH(SMALL('ISV Inventory'!$AU$6:$AU$255,$A16),'ISV Inventory'!$AU$6:$AU$255,0)),""))</f>
        <v/>
      </c>
      <c r="H16" s="13" t="str">
        <f aca="false">IF($A16="","",IFERROR(INDEX('ISV Inventory'!$X$6:$X$255,MATCH(SMALL('ISV Inventory'!$AU$6:$AU$255,$A16),'ISV Inventory'!$AU$6:$AU$255,0))&amp;"",""))</f>
        <v/>
      </c>
      <c r="I16" s="47" t="str">
        <f aca="false">IF($A16="","",IFERROR(INDEX('ISV Inventory'!$Z$6:$Z$255,MATCH(SMALL('ISV Inventory'!$AU$6:$AU$255,$A16),'ISV Inventory'!$AU$6:$AU$255,0)),""))</f>
        <v/>
      </c>
      <c r="J16" s="13" t="str">
        <f aca="false">IF($A16="","",IFERROR(INDEX('ISV Inventory'!$AG$6:$AG$255,MATCH(SMALL('ISV Inventory'!$AU$6:$AU$255,$A16),'ISV Inventory'!$AU$6:$AU$255,0))&amp;"",""))</f>
        <v/>
      </c>
      <c r="K16" s="13" t="str">
        <f aca="false">IF($A16="","",IFERROR(INDEX('ISV Inventory'!$AK$6:$AK$255,MATCH(SMALL('ISV Inventory'!$AU$6:$AU$255,$A16),'ISV Inventory'!$AU$6:$AU$255,0))&amp;"",""))</f>
        <v/>
      </c>
      <c r="L16" s="13" t="str">
        <f aca="false">IF($A16="","",IFERROR(INDEX('ISV Inventory'!$AR$6:$AR$255,MATCH(SMALL('ISV Inventory'!$AU$6:$AU$255,$A16),'ISV Inventory'!$AU$6:$AU$255,0))&amp;"",""))</f>
        <v/>
      </c>
      <c r="M16" s="13" t="str">
        <f aca="false">IF($A16="","",IFERROR(INDEX('ISV Inventory'!$AS$6:$AS$255,MATCH(SMALL('ISV Inventory'!$AU$6:$AU$255,$A16),'ISV Inventory'!$AU$6:$AU$255,0))&amp;"",""))</f>
        <v/>
      </c>
    </row>
    <row r="17" customFormat="false" ht="15" hidden="false" customHeight="false" outlineLevel="0" collapsed="false">
      <c r="A17" s="13" t="str">
        <f aca="false">IF(COUNT('ISV Inventory'!$AU$6:$AU$255)&lt;13,"",13)</f>
        <v/>
      </c>
      <c r="B17" s="47" t="str">
        <f aca="false">IF($A17="","",IFERROR(INDEX('ISV Inventory'!$V$6:$V$255,MATCH(SMALL('ISV Inventory'!$AU$6:$AU$255,$A17),'ISV Inventory'!$AU$6:$AU$255,0)),""))</f>
        <v/>
      </c>
      <c r="C17" s="48" t="str">
        <f aca="false">IF($A17="","",IFERROR(INDEX('ISV Inventory'!$AA$6:$AA$255,MATCH(SMALL('ISV Inventory'!$AU$6:$AU$255,$A17),'ISV Inventory'!$AU$6:$AU$255,0)),""))</f>
        <v/>
      </c>
      <c r="D17" s="13" t="str">
        <f aca="false">IF($A17="","",IFERROR(INDEX('ISV Inventory'!$AB$6:$AB$255,MATCH(SMALL('ISV Inventory'!$AU$6:$AU$255,$A17),'ISV Inventory'!$AU$6:$AU$255,0))&amp;"",""))</f>
        <v/>
      </c>
      <c r="E17" s="13" t="str">
        <f aca="false">IF($A17="","",IFERROR(INDEX('ISV Inventory'!$B$6:$B$255,MATCH(SMALL('ISV Inventory'!$AU$6:$AU$255,$A17),'ISV Inventory'!$AU$6:$AU$255,0))&amp;"",""))</f>
        <v/>
      </c>
      <c r="F17" s="13" t="str">
        <f aca="false">IF($A17="","",IFERROR(INDEX('ISV Inventory'!$F$6:$F$255,MATCH(SMALL('ISV Inventory'!$AU$6:$AU$255,$A17),'ISV Inventory'!$AU$6:$AU$255,0))&amp;"",""))</f>
        <v/>
      </c>
      <c r="G17" s="49" t="str">
        <f aca="false">IF($A17="","",IFERROR(INDEX('ISV Inventory'!$R$6:$R$255,MATCH(SMALL('ISV Inventory'!$AU$6:$AU$255,$A17),'ISV Inventory'!$AU$6:$AU$255,0)),""))</f>
        <v/>
      </c>
      <c r="H17" s="13" t="str">
        <f aca="false">IF($A17="","",IFERROR(INDEX('ISV Inventory'!$X$6:$X$255,MATCH(SMALL('ISV Inventory'!$AU$6:$AU$255,$A17),'ISV Inventory'!$AU$6:$AU$255,0))&amp;"",""))</f>
        <v/>
      </c>
      <c r="I17" s="47" t="str">
        <f aca="false">IF($A17="","",IFERROR(INDEX('ISV Inventory'!$Z$6:$Z$255,MATCH(SMALL('ISV Inventory'!$AU$6:$AU$255,$A17),'ISV Inventory'!$AU$6:$AU$255,0)),""))</f>
        <v/>
      </c>
      <c r="J17" s="13" t="str">
        <f aca="false">IF($A17="","",IFERROR(INDEX('ISV Inventory'!$AG$6:$AG$255,MATCH(SMALL('ISV Inventory'!$AU$6:$AU$255,$A17),'ISV Inventory'!$AU$6:$AU$255,0))&amp;"",""))</f>
        <v/>
      </c>
      <c r="K17" s="13" t="str">
        <f aca="false">IF($A17="","",IFERROR(INDEX('ISV Inventory'!$AK$6:$AK$255,MATCH(SMALL('ISV Inventory'!$AU$6:$AU$255,$A17),'ISV Inventory'!$AU$6:$AU$255,0))&amp;"",""))</f>
        <v/>
      </c>
      <c r="L17" s="13" t="str">
        <f aca="false">IF($A17="","",IFERROR(INDEX('ISV Inventory'!$AR$6:$AR$255,MATCH(SMALL('ISV Inventory'!$AU$6:$AU$255,$A17),'ISV Inventory'!$AU$6:$AU$255,0))&amp;"",""))</f>
        <v/>
      </c>
      <c r="M17" s="13" t="str">
        <f aca="false">IF($A17="","",IFERROR(INDEX('ISV Inventory'!$AS$6:$AS$255,MATCH(SMALL('ISV Inventory'!$AU$6:$AU$255,$A17),'ISV Inventory'!$AU$6:$AU$255,0))&amp;"",""))</f>
        <v/>
      </c>
    </row>
    <row r="18" customFormat="false" ht="15" hidden="false" customHeight="false" outlineLevel="0" collapsed="false">
      <c r="A18" s="13" t="str">
        <f aca="false">IF(COUNT('ISV Inventory'!$AU$6:$AU$255)&lt;14,"",14)</f>
        <v/>
      </c>
      <c r="B18" s="47" t="str">
        <f aca="false">IF($A18="","",IFERROR(INDEX('ISV Inventory'!$V$6:$V$255,MATCH(SMALL('ISV Inventory'!$AU$6:$AU$255,$A18),'ISV Inventory'!$AU$6:$AU$255,0)),""))</f>
        <v/>
      </c>
      <c r="C18" s="48" t="str">
        <f aca="false">IF($A18="","",IFERROR(INDEX('ISV Inventory'!$AA$6:$AA$255,MATCH(SMALL('ISV Inventory'!$AU$6:$AU$255,$A18),'ISV Inventory'!$AU$6:$AU$255,0)),""))</f>
        <v/>
      </c>
      <c r="D18" s="13" t="str">
        <f aca="false">IF($A18="","",IFERROR(INDEX('ISV Inventory'!$AB$6:$AB$255,MATCH(SMALL('ISV Inventory'!$AU$6:$AU$255,$A18),'ISV Inventory'!$AU$6:$AU$255,0))&amp;"",""))</f>
        <v/>
      </c>
      <c r="E18" s="13" t="str">
        <f aca="false">IF($A18="","",IFERROR(INDEX('ISV Inventory'!$B$6:$B$255,MATCH(SMALL('ISV Inventory'!$AU$6:$AU$255,$A18),'ISV Inventory'!$AU$6:$AU$255,0))&amp;"",""))</f>
        <v/>
      </c>
      <c r="F18" s="13" t="str">
        <f aca="false">IF($A18="","",IFERROR(INDEX('ISV Inventory'!$F$6:$F$255,MATCH(SMALL('ISV Inventory'!$AU$6:$AU$255,$A18),'ISV Inventory'!$AU$6:$AU$255,0))&amp;"",""))</f>
        <v/>
      </c>
      <c r="G18" s="49" t="str">
        <f aca="false">IF($A18="","",IFERROR(INDEX('ISV Inventory'!$R$6:$R$255,MATCH(SMALL('ISV Inventory'!$AU$6:$AU$255,$A18),'ISV Inventory'!$AU$6:$AU$255,0)),""))</f>
        <v/>
      </c>
      <c r="H18" s="13" t="str">
        <f aca="false">IF($A18="","",IFERROR(INDEX('ISV Inventory'!$X$6:$X$255,MATCH(SMALL('ISV Inventory'!$AU$6:$AU$255,$A18),'ISV Inventory'!$AU$6:$AU$255,0))&amp;"",""))</f>
        <v/>
      </c>
      <c r="I18" s="47" t="str">
        <f aca="false">IF($A18="","",IFERROR(INDEX('ISV Inventory'!$Z$6:$Z$255,MATCH(SMALL('ISV Inventory'!$AU$6:$AU$255,$A18),'ISV Inventory'!$AU$6:$AU$255,0)),""))</f>
        <v/>
      </c>
      <c r="J18" s="13" t="str">
        <f aca="false">IF($A18="","",IFERROR(INDEX('ISV Inventory'!$AG$6:$AG$255,MATCH(SMALL('ISV Inventory'!$AU$6:$AU$255,$A18),'ISV Inventory'!$AU$6:$AU$255,0))&amp;"",""))</f>
        <v/>
      </c>
      <c r="K18" s="13" t="str">
        <f aca="false">IF($A18="","",IFERROR(INDEX('ISV Inventory'!$AK$6:$AK$255,MATCH(SMALL('ISV Inventory'!$AU$6:$AU$255,$A18),'ISV Inventory'!$AU$6:$AU$255,0))&amp;"",""))</f>
        <v/>
      </c>
      <c r="L18" s="13" t="str">
        <f aca="false">IF($A18="","",IFERROR(INDEX('ISV Inventory'!$AR$6:$AR$255,MATCH(SMALL('ISV Inventory'!$AU$6:$AU$255,$A18),'ISV Inventory'!$AU$6:$AU$255,0))&amp;"",""))</f>
        <v/>
      </c>
      <c r="M18" s="13" t="str">
        <f aca="false">IF($A18="","",IFERROR(INDEX('ISV Inventory'!$AS$6:$AS$255,MATCH(SMALL('ISV Inventory'!$AU$6:$AU$255,$A18),'ISV Inventory'!$AU$6:$AU$255,0))&amp;"",""))</f>
        <v/>
      </c>
    </row>
    <row r="19" customFormat="false" ht="15" hidden="false" customHeight="false" outlineLevel="0" collapsed="false">
      <c r="A19" s="13" t="str">
        <f aca="false">IF(COUNT('ISV Inventory'!$AU$6:$AU$255)&lt;15,"",15)</f>
        <v/>
      </c>
      <c r="B19" s="47" t="str">
        <f aca="false">IF($A19="","",IFERROR(INDEX('ISV Inventory'!$V$6:$V$255,MATCH(SMALL('ISV Inventory'!$AU$6:$AU$255,$A19),'ISV Inventory'!$AU$6:$AU$255,0)),""))</f>
        <v/>
      </c>
      <c r="C19" s="48" t="str">
        <f aca="false">IF($A19="","",IFERROR(INDEX('ISV Inventory'!$AA$6:$AA$255,MATCH(SMALL('ISV Inventory'!$AU$6:$AU$255,$A19),'ISV Inventory'!$AU$6:$AU$255,0)),""))</f>
        <v/>
      </c>
      <c r="D19" s="13" t="str">
        <f aca="false">IF($A19="","",IFERROR(INDEX('ISV Inventory'!$AB$6:$AB$255,MATCH(SMALL('ISV Inventory'!$AU$6:$AU$255,$A19),'ISV Inventory'!$AU$6:$AU$255,0))&amp;"",""))</f>
        <v/>
      </c>
      <c r="E19" s="13" t="str">
        <f aca="false">IF($A19="","",IFERROR(INDEX('ISV Inventory'!$B$6:$B$255,MATCH(SMALL('ISV Inventory'!$AU$6:$AU$255,$A19),'ISV Inventory'!$AU$6:$AU$255,0))&amp;"",""))</f>
        <v/>
      </c>
      <c r="F19" s="13" t="str">
        <f aca="false">IF($A19="","",IFERROR(INDEX('ISV Inventory'!$F$6:$F$255,MATCH(SMALL('ISV Inventory'!$AU$6:$AU$255,$A19),'ISV Inventory'!$AU$6:$AU$255,0))&amp;"",""))</f>
        <v/>
      </c>
      <c r="G19" s="49" t="str">
        <f aca="false">IF($A19="","",IFERROR(INDEX('ISV Inventory'!$R$6:$R$255,MATCH(SMALL('ISV Inventory'!$AU$6:$AU$255,$A19),'ISV Inventory'!$AU$6:$AU$255,0)),""))</f>
        <v/>
      </c>
      <c r="H19" s="13" t="str">
        <f aca="false">IF($A19="","",IFERROR(INDEX('ISV Inventory'!$X$6:$X$255,MATCH(SMALL('ISV Inventory'!$AU$6:$AU$255,$A19),'ISV Inventory'!$AU$6:$AU$255,0))&amp;"",""))</f>
        <v/>
      </c>
      <c r="I19" s="47" t="str">
        <f aca="false">IF($A19="","",IFERROR(INDEX('ISV Inventory'!$Z$6:$Z$255,MATCH(SMALL('ISV Inventory'!$AU$6:$AU$255,$A19),'ISV Inventory'!$AU$6:$AU$255,0)),""))</f>
        <v/>
      </c>
      <c r="J19" s="13" t="str">
        <f aca="false">IF($A19="","",IFERROR(INDEX('ISV Inventory'!$AG$6:$AG$255,MATCH(SMALL('ISV Inventory'!$AU$6:$AU$255,$A19),'ISV Inventory'!$AU$6:$AU$255,0))&amp;"",""))</f>
        <v/>
      </c>
      <c r="K19" s="13" t="str">
        <f aca="false">IF($A19="","",IFERROR(INDEX('ISV Inventory'!$AK$6:$AK$255,MATCH(SMALL('ISV Inventory'!$AU$6:$AU$255,$A19),'ISV Inventory'!$AU$6:$AU$255,0))&amp;"",""))</f>
        <v/>
      </c>
      <c r="L19" s="13" t="str">
        <f aca="false">IF($A19="","",IFERROR(INDEX('ISV Inventory'!$AR$6:$AR$255,MATCH(SMALL('ISV Inventory'!$AU$6:$AU$255,$A19),'ISV Inventory'!$AU$6:$AU$255,0))&amp;"",""))</f>
        <v/>
      </c>
      <c r="M19" s="13" t="str">
        <f aca="false">IF($A19="","",IFERROR(INDEX('ISV Inventory'!$AS$6:$AS$255,MATCH(SMALL('ISV Inventory'!$AU$6:$AU$255,$A19),'ISV Inventory'!$AU$6:$AU$255,0))&amp;"",""))</f>
        <v/>
      </c>
    </row>
    <row r="20" customFormat="false" ht="15" hidden="false" customHeight="false" outlineLevel="0" collapsed="false">
      <c r="A20" s="13" t="str">
        <f aca="false">IF(COUNT('ISV Inventory'!$AU$6:$AU$255)&lt;16,"",16)</f>
        <v/>
      </c>
      <c r="B20" s="47" t="str">
        <f aca="false">IF($A20="","",IFERROR(INDEX('ISV Inventory'!$V$6:$V$255,MATCH(SMALL('ISV Inventory'!$AU$6:$AU$255,$A20),'ISV Inventory'!$AU$6:$AU$255,0)),""))</f>
        <v/>
      </c>
      <c r="C20" s="48" t="str">
        <f aca="false">IF($A20="","",IFERROR(INDEX('ISV Inventory'!$AA$6:$AA$255,MATCH(SMALL('ISV Inventory'!$AU$6:$AU$255,$A20),'ISV Inventory'!$AU$6:$AU$255,0)),""))</f>
        <v/>
      </c>
      <c r="D20" s="13" t="str">
        <f aca="false">IF($A20="","",IFERROR(INDEX('ISV Inventory'!$AB$6:$AB$255,MATCH(SMALL('ISV Inventory'!$AU$6:$AU$255,$A20),'ISV Inventory'!$AU$6:$AU$255,0))&amp;"",""))</f>
        <v/>
      </c>
      <c r="E20" s="13" t="str">
        <f aca="false">IF($A20="","",IFERROR(INDEX('ISV Inventory'!$B$6:$B$255,MATCH(SMALL('ISV Inventory'!$AU$6:$AU$255,$A20),'ISV Inventory'!$AU$6:$AU$255,0))&amp;"",""))</f>
        <v/>
      </c>
      <c r="F20" s="13" t="str">
        <f aca="false">IF($A20="","",IFERROR(INDEX('ISV Inventory'!$F$6:$F$255,MATCH(SMALL('ISV Inventory'!$AU$6:$AU$255,$A20),'ISV Inventory'!$AU$6:$AU$255,0))&amp;"",""))</f>
        <v/>
      </c>
      <c r="G20" s="49" t="str">
        <f aca="false">IF($A20="","",IFERROR(INDEX('ISV Inventory'!$R$6:$R$255,MATCH(SMALL('ISV Inventory'!$AU$6:$AU$255,$A20),'ISV Inventory'!$AU$6:$AU$255,0)),""))</f>
        <v/>
      </c>
      <c r="H20" s="13" t="str">
        <f aca="false">IF($A20="","",IFERROR(INDEX('ISV Inventory'!$X$6:$X$255,MATCH(SMALL('ISV Inventory'!$AU$6:$AU$255,$A20),'ISV Inventory'!$AU$6:$AU$255,0))&amp;"",""))</f>
        <v/>
      </c>
      <c r="I20" s="47" t="str">
        <f aca="false">IF($A20="","",IFERROR(INDEX('ISV Inventory'!$Z$6:$Z$255,MATCH(SMALL('ISV Inventory'!$AU$6:$AU$255,$A20),'ISV Inventory'!$AU$6:$AU$255,0)),""))</f>
        <v/>
      </c>
      <c r="J20" s="13" t="str">
        <f aca="false">IF($A20="","",IFERROR(INDEX('ISV Inventory'!$AG$6:$AG$255,MATCH(SMALL('ISV Inventory'!$AU$6:$AU$255,$A20),'ISV Inventory'!$AU$6:$AU$255,0))&amp;"",""))</f>
        <v/>
      </c>
      <c r="K20" s="13" t="str">
        <f aca="false">IF($A20="","",IFERROR(INDEX('ISV Inventory'!$AK$6:$AK$255,MATCH(SMALL('ISV Inventory'!$AU$6:$AU$255,$A20),'ISV Inventory'!$AU$6:$AU$255,0))&amp;"",""))</f>
        <v/>
      </c>
      <c r="L20" s="13" t="str">
        <f aca="false">IF($A20="","",IFERROR(INDEX('ISV Inventory'!$AR$6:$AR$255,MATCH(SMALL('ISV Inventory'!$AU$6:$AU$255,$A20),'ISV Inventory'!$AU$6:$AU$255,0))&amp;"",""))</f>
        <v/>
      </c>
      <c r="M20" s="13" t="str">
        <f aca="false">IF($A20="","",IFERROR(INDEX('ISV Inventory'!$AS$6:$AS$255,MATCH(SMALL('ISV Inventory'!$AU$6:$AU$255,$A20),'ISV Inventory'!$AU$6:$AU$255,0))&amp;"",""))</f>
        <v/>
      </c>
    </row>
    <row r="21" customFormat="false" ht="15" hidden="false" customHeight="false" outlineLevel="0" collapsed="false">
      <c r="A21" s="13" t="str">
        <f aca="false">IF(COUNT('ISV Inventory'!$AU$6:$AU$255)&lt;17,"",17)</f>
        <v/>
      </c>
      <c r="B21" s="47" t="str">
        <f aca="false">IF($A21="","",IFERROR(INDEX('ISV Inventory'!$V$6:$V$255,MATCH(SMALL('ISV Inventory'!$AU$6:$AU$255,$A21),'ISV Inventory'!$AU$6:$AU$255,0)),""))</f>
        <v/>
      </c>
      <c r="C21" s="48" t="str">
        <f aca="false">IF($A21="","",IFERROR(INDEX('ISV Inventory'!$AA$6:$AA$255,MATCH(SMALL('ISV Inventory'!$AU$6:$AU$255,$A21),'ISV Inventory'!$AU$6:$AU$255,0)),""))</f>
        <v/>
      </c>
      <c r="D21" s="13" t="str">
        <f aca="false">IF($A21="","",IFERROR(INDEX('ISV Inventory'!$AB$6:$AB$255,MATCH(SMALL('ISV Inventory'!$AU$6:$AU$255,$A21),'ISV Inventory'!$AU$6:$AU$255,0))&amp;"",""))</f>
        <v/>
      </c>
      <c r="E21" s="13" t="str">
        <f aca="false">IF($A21="","",IFERROR(INDEX('ISV Inventory'!$B$6:$B$255,MATCH(SMALL('ISV Inventory'!$AU$6:$AU$255,$A21),'ISV Inventory'!$AU$6:$AU$255,0))&amp;"",""))</f>
        <v/>
      </c>
      <c r="F21" s="13" t="str">
        <f aca="false">IF($A21="","",IFERROR(INDEX('ISV Inventory'!$F$6:$F$255,MATCH(SMALL('ISV Inventory'!$AU$6:$AU$255,$A21),'ISV Inventory'!$AU$6:$AU$255,0))&amp;"",""))</f>
        <v/>
      </c>
      <c r="G21" s="49" t="str">
        <f aca="false">IF($A21="","",IFERROR(INDEX('ISV Inventory'!$R$6:$R$255,MATCH(SMALL('ISV Inventory'!$AU$6:$AU$255,$A21),'ISV Inventory'!$AU$6:$AU$255,0)),""))</f>
        <v/>
      </c>
      <c r="H21" s="13" t="str">
        <f aca="false">IF($A21="","",IFERROR(INDEX('ISV Inventory'!$X$6:$X$255,MATCH(SMALL('ISV Inventory'!$AU$6:$AU$255,$A21),'ISV Inventory'!$AU$6:$AU$255,0))&amp;"",""))</f>
        <v/>
      </c>
      <c r="I21" s="47" t="str">
        <f aca="false">IF($A21="","",IFERROR(INDEX('ISV Inventory'!$Z$6:$Z$255,MATCH(SMALL('ISV Inventory'!$AU$6:$AU$255,$A21),'ISV Inventory'!$AU$6:$AU$255,0)),""))</f>
        <v/>
      </c>
      <c r="J21" s="13" t="str">
        <f aca="false">IF($A21="","",IFERROR(INDEX('ISV Inventory'!$AG$6:$AG$255,MATCH(SMALL('ISV Inventory'!$AU$6:$AU$255,$A21),'ISV Inventory'!$AU$6:$AU$255,0))&amp;"",""))</f>
        <v/>
      </c>
      <c r="K21" s="13" t="str">
        <f aca="false">IF($A21="","",IFERROR(INDEX('ISV Inventory'!$AK$6:$AK$255,MATCH(SMALL('ISV Inventory'!$AU$6:$AU$255,$A21),'ISV Inventory'!$AU$6:$AU$255,0))&amp;"",""))</f>
        <v/>
      </c>
      <c r="L21" s="13" t="str">
        <f aca="false">IF($A21="","",IFERROR(INDEX('ISV Inventory'!$AR$6:$AR$255,MATCH(SMALL('ISV Inventory'!$AU$6:$AU$255,$A21),'ISV Inventory'!$AU$6:$AU$255,0))&amp;"",""))</f>
        <v/>
      </c>
      <c r="M21" s="13" t="str">
        <f aca="false">IF($A21="","",IFERROR(INDEX('ISV Inventory'!$AS$6:$AS$255,MATCH(SMALL('ISV Inventory'!$AU$6:$AU$255,$A21),'ISV Inventory'!$AU$6:$AU$255,0))&amp;"",""))</f>
        <v/>
      </c>
    </row>
    <row r="22" customFormat="false" ht="15" hidden="false" customHeight="false" outlineLevel="0" collapsed="false">
      <c r="A22" s="13" t="str">
        <f aca="false">IF(COUNT('ISV Inventory'!$AU$6:$AU$255)&lt;18,"",18)</f>
        <v/>
      </c>
      <c r="B22" s="47" t="str">
        <f aca="false">IF($A22="","",IFERROR(INDEX('ISV Inventory'!$V$6:$V$255,MATCH(SMALL('ISV Inventory'!$AU$6:$AU$255,$A22),'ISV Inventory'!$AU$6:$AU$255,0)),""))</f>
        <v/>
      </c>
      <c r="C22" s="48" t="str">
        <f aca="false">IF($A22="","",IFERROR(INDEX('ISV Inventory'!$AA$6:$AA$255,MATCH(SMALL('ISV Inventory'!$AU$6:$AU$255,$A22),'ISV Inventory'!$AU$6:$AU$255,0)),""))</f>
        <v/>
      </c>
      <c r="D22" s="13" t="str">
        <f aca="false">IF($A22="","",IFERROR(INDEX('ISV Inventory'!$AB$6:$AB$255,MATCH(SMALL('ISV Inventory'!$AU$6:$AU$255,$A22),'ISV Inventory'!$AU$6:$AU$255,0))&amp;"",""))</f>
        <v/>
      </c>
      <c r="E22" s="13" t="str">
        <f aca="false">IF($A22="","",IFERROR(INDEX('ISV Inventory'!$B$6:$B$255,MATCH(SMALL('ISV Inventory'!$AU$6:$AU$255,$A22),'ISV Inventory'!$AU$6:$AU$255,0))&amp;"",""))</f>
        <v/>
      </c>
      <c r="F22" s="13" t="str">
        <f aca="false">IF($A22="","",IFERROR(INDEX('ISV Inventory'!$F$6:$F$255,MATCH(SMALL('ISV Inventory'!$AU$6:$AU$255,$A22),'ISV Inventory'!$AU$6:$AU$255,0))&amp;"",""))</f>
        <v/>
      </c>
      <c r="G22" s="49" t="str">
        <f aca="false">IF($A22="","",IFERROR(INDEX('ISV Inventory'!$R$6:$R$255,MATCH(SMALL('ISV Inventory'!$AU$6:$AU$255,$A22),'ISV Inventory'!$AU$6:$AU$255,0)),""))</f>
        <v/>
      </c>
      <c r="H22" s="13" t="str">
        <f aca="false">IF($A22="","",IFERROR(INDEX('ISV Inventory'!$X$6:$X$255,MATCH(SMALL('ISV Inventory'!$AU$6:$AU$255,$A22),'ISV Inventory'!$AU$6:$AU$255,0))&amp;"",""))</f>
        <v/>
      </c>
      <c r="I22" s="47" t="str">
        <f aca="false">IF($A22="","",IFERROR(INDEX('ISV Inventory'!$Z$6:$Z$255,MATCH(SMALL('ISV Inventory'!$AU$6:$AU$255,$A22),'ISV Inventory'!$AU$6:$AU$255,0)),""))</f>
        <v/>
      </c>
      <c r="J22" s="13" t="str">
        <f aca="false">IF($A22="","",IFERROR(INDEX('ISV Inventory'!$AG$6:$AG$255,MATCH(SMALL('ISV Inventory'!$AU$6:$AU$255,$A22),'ISV Inventory'!$AU$6:$AU$255,0))&amp;"",""))</f>
        <v/>
      </c>
      <c r="K22" s="13" t="str">
        <f aca="false">IF($A22="","",IFERROR(INDEX('ISV Inventory'!$AK$6:$AK$255,MATCH(SMALL('ISV Inventory'!$AU$6:$AU$255,$A22),'ISV Inventory'!$AU$6:$AU$255,0))&amp;"",""))</f>
        <v/>
      </c>
      <c r="L22" s="13" t="str">
        <f aca="false">IF($A22="","",IFERROR(INDEX('ISV Inventory'!$AR$6:$AR$255,MATCH(SMALL('ISV Inventory'!$AU$6:$AU$255,$A22),'ISV Inventory'!$AU$6:$AU$255,0))&amp;"",""))</f>
        <v/>
      </c>
      <c r="M22" s="13" t="str">
        <f aca="false">IF($A22="","",IFERROR(INDEX('ISV Inventory'!$AS$6:$AS$255,MATCH(SMALL('ISV Inventory'!$AU$6:$AU$255,$A22),'ISV Inventory'!$AU$6:$AU$255,0))&amp;"",""))</f>
        <v/>
      </c>
    </row>
    <row r="23" customFormat="false" ht="15" hidden="false" customHeight="false" outlineLevel="0" collapsed="false">
      <c r="A23" s="13" t="str">
        <f aca="false">IF(COUNT('ISV Inventory'!$AU$6:$AU$255)&lt;19,"",19)</f>
        <v/>
      </c>
      <c r="B23" s="47" t="str">
        <f aca="false">IF($A23="","",IFERROR(INDEX('ISV Inventory'!$V$6:$V$255,MATCH(SMALL('ISV Inventory'!$AU$6:$AU$255,$A23),'ISV Inventory'!$AU$6:$AU$255,0)),""))</f>
        <v/>
      </c>
      <c r="C23" s="48" t="str">
        <f aca="false">IF($A23="","",IFERROR(INDEX('ISV Inventory'!$AA$6:$AA$255,MATCH(SMALL('ISV Inventory'!$AU$6:$AU$255,$A23),'ISV Inventory'!$AU$6:$AU$255,0)),""))</f>
        <v/>
      </c>
      <c r="D23" s="13" t="str">
        <f aca="false">IF($A23="","",IFERROR(INDEX('ISV Inventory'!$AB$6:$AB$255,MATCH(SMALL('ISV Inventory'!$AU$6:$AU$255,$A23),'ISV Inventory'!$AU$6:$AU$255,0))&amp;"",""))</f>
        <v/>
      </c>
      <c r="E23" s="13" t="str">
        <f aca="false">IF($A23="","",IFERROR(INDEX('ISV Inventory'!$B$6:$B$255,MATCH(SMALL('ISV Inventory'!$AU$6:$AU$255,$A23),'ISV Inventory'!$AU$6:$AU$255,0))&amp;"",""))</f>
        <v/>
      </c>
      <c r="F23" s="13" t="str">
        <f aca="false">IF($A23="","",IFERROR(INDEX('ISV Inventory'!$F$6:$F$255,MATCH(SMALL('ISV Inventory'!$AU$6:$AU$255,$A23),'ISV Inventory'!$AU$6:$AU$255,0))&amp;"",""))</f>
        <v/>
      </c>
      <c r="G23" s="49" t="str">
        <f aca="false">IF($A23="","",IFERROR(INDEX('ISV Inventory'!$R$6:$R$255,MATCH(SMALL('ISV Inventory'!$AU$6:$AU$255,$A23),'ISV Inventory'!$AU$6:$AU$255,0)),""))</f>
        <v/>
      </c>
      <c r="H23" s="13" t="str">
        <f aca="false">IF($A23="","",IFERROR(INDEX('ISV Inventory'!$X$6:$X$255,MATCH(SMALL('ISV Inventory'!$AU$6:$AU$255,$A23),'ISV Inventory'!$AU$6:$AU$255,0))&amp;"",""))</f>
        <v/>
      </c>
      <c r="I23" s="47" t="str">
        <f aca="false">IF($A23="","",IFERROR(INDEX('ISV Inventory'!$Z$6:$Z$255,MATCH(SMALL('ISV Inventory'!$AU$6:$AU$255,$A23),'ISV Inventory'!$AU$6:$AU$255,0)),""))</f>
        <v/>
      </c>
      <c r="J23" s="13" t="str">
        <f aca="false">IF($A23="","",IFERROR(INDEX('ISV Inventory'!$AG$6:$AG$255,MATCH(SMALL('ISV Inventory'!$AU$6:$AU$255,$A23),'ISV Inventory'!$AU$6:$AU$255,0))&amp;"",""))</f>
        <v/>
      </c>
      <c r="K23" s="13" t="str">
        <f aca="false">IF($A23="","",IFERROR(INDEX('ISV Inventory'!$AK$6:$AK$255,MATCH(SMALL('ISV Inventory'!$AU$6:$AU$255,$A23),'ISV Inventory'!$AU$6:$AU$255,0))&amp;"",""))</f>
        <v/>
      </c>
      <c r="L23" s="13" t="str">
        <f aca="false">IF($A23="","",IFERROR(INDEX('ISV Inventory'!$AR$6:$AR$255,MATCH(SMALL('ISV Inventory'!$AU$6:$AU$255,$A23),'ISV Inventory'!$AU$6:$AU$255,0))&amp;"",""))</f>
        <v/>
      </c>
      <c r="M23" s="13" t="str">
        <f aca="false">IF($A23="","",IFERROR(INDEX('ISV Inventory'!$AS$6:$AS$255,MATCH(SMALL('ISV Inventory'!$AU$6:$AU$255,$A23),'ISV Inventory'!$AU$6:$AU$255,0))&amp;"",""))</f>
        <v/>
      </c>
    </row>
    <row r="24" customFormat="false" ht="15" hidden="false" customHeight="false" outlineLevel="0" collapsed="false">
      <c r="A24" s="13" t="str">
        <f aca="false">IF(COUNT('ISV Inventory'!$AU$6:$AU$255)&lt;20,"",20)</f>
        <v/>
      </c>
      <c r="B24" s="47" t="str">
        <f aca="false">IF($A24="","",IFERROR(INDEX('ISV Inventory'!$V$6:$V$255,MATCH(SMALL('ISV Inventory'!$AU$6:$AU$255,$A24),'ISV Inventory'!$AU$6:$AU$255,0)),""))</f>
        <v/>
      </c>
      <c r="C24" s="48" t="str">
        <f aca="false">IF($A24="","",IFERROR(INDEX('ISV Inventory'!$AA$6:$AA$255,MATCH(SMALL('ISV Inventory'!$AU$6:$AU$255,$A24),'ISV Inventory'!$AU$6:$AU$255,0)),""))</f>
        <v/>
      </c>
      <c r="D24" s="13" t="str">
        <f aca="false">IF($A24="","",IFERROR(INDEX('ISV Inventory'!$AB$6:$AB$255,MATCH(SMALL('ISV Inventory'!$AU$6:$AU$255,$A24),'ISV Inventory'!$AU$6:$AU$255,0))&amp;"",""))</f>
        <v/>
      </c>
      <c r="E24" s="13" t="str">
        <f aca="false">IF($A24="","",IFERROR(INDEX('ISV Inventory'!$B$6:$B$255,MATCH(SMALL('ISV Inventory'!$AU$6:$AU$255,$A24),'ISV Inventory'!$AU$6:$AU$255,0))&amp;"",""))</f>
        <v/>
      </c>
      <c r="F24" s="13" t="str">
        <f aca="false">IF($A24="","",IFERROR(INDEX('ISV Inventory'!$F$6:$F$255,MATCH(SMALL('ISV Inventory'!$AU$6:$AU$255,$A24),'ISV Inventory'!$AU$6:$AU$255,0))&amp;"",""))</f>
        <v/>
      </c>
      <c r="G24" s="49" t="str">
        <f aca="false">IF($A24="","",IFERROR(INDEX('ISV Inventory'!$R$6:$R$255,MATCH(SMALL('ISV Inventory'!$AU$6:$AU$255,$A24),'ISV Inventory'!$AU$6:$AU$255,0)),""))</f>
        <v/>
      </c>
      <c r="H24" s="13" t="str">
        <f aca="false">IF($A24="","",IFERROR(INDEX('ISV Inventory'!$X$6:$X$255,MATCH(SMALL('ISV Inventory'!$AU$6:$AU$255,$A24),'ISV Inventory'!$AU$6:$AU$255,0))&amp;"",""))</f>
        <v/>
      </c>
      <c r="I24" s="47" t="str">
        <f aca="false">IF($A24="","",IFERROR(INDEX('ISV Inventory'!$Z$6:$Z$255,MATCH(SMALL('ISV Inventory'!$AU$6:$AU$255,$A24),'ISV Inventory'!$AU$6:$AU$255,0)),""))</f>
        <v/>
      </c>
      <c r="J24" s="13" t="str">
        <f aca="false">IF($A24="","",IFERROR(INDEX('ISV Inventory'!$AG$6:$AG$255,MATCH(SMALL('ISV Inventory'!$AU$6:$AU$255,$A24),'ISV Inventory'!$AU$6:$AU$255,0))&amp;"",""))</f>
        <v/>
      </c>
      <c r="K24" s="13" t="str">
        <f aca="false">IF($A24="","",IFERROR(INDEX('ISV Inventory'!$AK$6:$AK$255,MATCH(SMALL('ISV Inventory'!$AU$6:$AU$255,$A24),'ISV Inventory'!$AU$6:$AU$255,0))&amp;"",""))</f>
        <v/>
      </c>
      <c r="L24" s="13" t="str">
        <f aca="false">IF($A24="","",IFERROR(INDEX('ISV Inventory'!$AR$6:$AR$255,MATCH(SMALL('ISV Inventory'!$AU$6:$AU$255,$A24),'ISV Inventory'!$AU$6:$AU$255,0))&amp;"",""))</f>
        <v/>
      </c>
      <c r="M24" s="13" t="str">
        <f aca="false">IF($A24="","",IFERROR(INDEX('ISV Inventory'!$AS$6:$AS$255,MATCH(SMALL('ISV Inventory'!$AU$6:$AU$255,$A24),'ISV Inventory'!$AU$6:$AU$255,0))&amp;"",""))</f>
        <v/>
      </c>
    </row>
    <row r="25" customFormat="false" ht="15" hidden="false" customHeight="false" outlineLevel="0" collapsed="false">
      <c r="A25" s="13" t="str">
        <f aca="false">IF(COUNT('ISV Inventory'!$AU$6:$AU$255)&lt;21,"",21)</f>
        <v/>
      </c>
      <c r="B25" s="47" t="str">
        <f aca="false">IF($A25="","",IFERROR(INDEX('ISV Inventory'!$V$6:$V$255,MATCH(SMALL('ISV Inventory'!$AU$6:$AU$255,$A25),'ISV Inventory'!$AU$6:$AU$255,0)),""))</f>
        <v/>
      </c>
      <c r="C25" s="48" t="str">
        <f aca="false">IF($A25="","",IFERROR(INDEX('ISV Inventory'!$AA$6:$AA$255,MATCH(SMALL('ISV Inventory'!$AU$6:$AU$255,$A25),'ISV Inventory'!$AU$6:$AU$255,0)),""))</f>
        <v/>
      </c>
      <c r="D25" s="13" t="str">
        <f aca="false">IF($A25="","",IFERROR(INDEX('ISV Inventory'!$AB$6:$AB$255,MATCH(SMALL('ISV Inventory'!$AU$6:$AU$255,$A25),'ISV Inventory'!$AU$6:$AU$255,0))&amp;"",""))</f>
        <v/>
      </c>
      <c r="E25" s="13" t="str">
        <f aca="false">IF($A25="","",IFERROR(INDEX('ISV Inventory'!$B$6:$B$255,MATCH(SMALL('ISV Inventory'!$AU$6:$AU$255,$A25),'ISV Inventory'!$AU$6:$AU$255,0))&amp;"",""))</f>
        <v/>
      </c>
      <c r="F25" s="13" t="str">
        <f aca="false">IF($A25="","",IFERROR(INDEX('ISV Inventory'!$F$6:$F$255,MATCH(SMALL('ISV Inventory'!$AU$6:$AU$255,$A25),'ISV Inventory'!$AU$6:$AU$255,0))&amp;"",""))</f>
        <v/>
      </c>
      <c r="G25" s="49" t="str">
        <f aca="false">IF($A25="","",IFERROR(INDEX('ISV Inventory'!$R$6:$R$255,MATCH(SMALL('ISV Inventory'!$AU$6:$AU$255,$A25),'ISV Inventory'!$AU$6:$AU$255,0)),""))</f>
        <v/>
      </c>
      <c r="H25" s="13" t="str">
        <f aca="false">IF($A25="","",IFERROR(INDEX('ISV Inventory'!$X$6:$X$255,MATCH(SMALL('ISV Inventory'!$AU$6:$AU$255,$A25),'ISV Inventory'!$AU$6:$AU$255,0))&amp;"",""))</f>
        <v/>
      </c>
      <c r="I25" s="47" t="str">
        <f aca="false">IF($A25="","",IFERROR(INDEX('ISV Inventory'!$Z$6:$Z$255,MATCH(SMALL('ISV Inventory'!$AU$6:$AU$255,$A25),'ISV Inventory'!$AU$6:$AU$255,0)),""))</f>
        <v/>
      </c>
      <c r="J25" s="13" t="str">
        <f aca="false">IF($A25="","",IFERROR(INDEX('ISV Inventory'!$AG$6:$AG$255,MATCH(SMALL('ISV Inventory'!$AU$6:$AU$255,$A25),'ISV Inventory'!$AU$6:$AU$255,0))&amp;"",""))</f>
        <v/>
      </c>
      <c r="K25" s="13" t="str">
        <f aca="false">IF($A25="","",IFERROR(INDEX('ISV Inventory'!$AK$6:$AK$255,MATCH(SMALL('ISV Inventory'!$AU$6:$AU$255,$A25),'ISV Inventory'!$AU$6:$AU$255,0))&amp;"",""))</f>
        <v/>
      </c>
      <c r="L25" s="13" t="str">
        <f aca="false">IF($A25="","",IFERROR(INDEX('ISV Inventory'!$AR$6:$AR$255,MATCH(SMALL('ISV Inventory'!$AU$6:$AU$255,$A25),'ISV Inventory'!$AU$6:$AU$255,0))&amp;"",""))</f>
        <v/>
      </c>
      <c r="M25" s="13" t="str">
        <f aca="false">IF($A25="","",IFERROR(INDEX('ISV Inventory'!$AS$6:$AS$255,MATCH(SMALL('ISV Inventory'!$AU$6:$AU$255,$A25),'ISV Inventory'!$AU$6:$AU$255,0))&amp;"",""))</f>
        <v/>
      </c>
    </row>
    <row r="26" customFormat="false" ht="15" hidden="false" customHeight="false" outlineLevel="0" collapsed="false">
      <c r="A26" s="13" t="str">
        <f aca="false">IF(COUNT('ISV Inventory'!$AU$6:$AU$255)&lt;22,"",22)</f>
        <v/>
      </c>
      <c r="B26" s="47" t="str">
        <f aca="false">IF($A26="","",IFERROR(INDEX('ISV Inventory'!$V$6:$V$255,MATCH(SMALL('ISV Inventory'!$AU$6:$AU$255,$A26),'ISV Inventory'!$AU$6:$AU$255,0)),""))</f>
        <v/>
      </c>
      <c r="C26" s="48" t="str">
        <f aca="false">IF($A26="","",IFERROR(INDEX('ISV Inventory'!$AA$6:$AA$255,MATCH(SMALL('ISV Inventory'!$AU$6:$AU$255,$A26),'ISV Inventory'!$AU$6:$AU$255,0)),""))</f>
        <v/>
      </c>
      <c r="D26" s="13" t="str">
        <f aca="false">IF($A26="","",IFERROR(INDEX('ISV Inventory'!$AB$6:$AB$255,MATCH(SMALL('ISV Inventory'!$AU$6:$AU$255,$A26),'ISV Inventory'!$AU$6:$AU$255,0))&amp;"",""))</f>
        <v/>
      </c>
      <c r="E26" s="13" t="str">
        <f aca="false">IF($A26="","",IFERROR(INDEX('ISV Inventory'!$B$6:$B$255,MATCH(SMALL('ISV Inventory'!$AU$6:$AU$255,$A26),'ISV Inventory'!$AU$6:$AU$255,0))&amp;"",""))</f>
        <v/>
      </c>
      <c r="F26" s="13" t="str">
        <f aca="false">IF($A26="","",IFERROR(INDEX('ISV Inventory'!$F$6:$F$255,MATCH(SMALL('ISV Inventory'!$AU$6:$AU$255,$A26),'ISV Inventory'!$AU$6:$AU$255,0))&amp;"",""))</f>
        <v/>
      </c>
      <c r="G26" s="49" t="str">
        <f aca="false">IF($A26="","",IFERROR(INDEX('ISV Inventory'!$R$6:$R$255,MATCH(SMALL('ISV Inventory'!$AU$6:$AU$255,$A26),'ISV Inventory'!$AU$6:$AU$255,0)),""))</f>
        <v/>
      </c>
      <c r="H26" s="13" t="str">
        <f aca="false">IF($A26="","",IFERROR(INDEX('ISV Inventory'!$X$6:$X$255,MATCH(SMALL('ISV Inventory'!$AU$6:$AU$255,$A26),'ISV Inventory'!$AU$6:$AU$255,0))&amp;"",""))</f>
        <v/>
      </c>
      <c r="I26" s="47" t="str">
        <f aca="false">IF($A26="","",IFERROR(INDEX('ISV Inventory'!$Z$6:$Z$255,MATCH(SMALL('ISV Inventory'!$AU$6:$AU$255,$A26),'ISV Inventory'!$AU$6:$AU$255,0)),""))</f>
        <v/>
      </c>
      <c r="J26" s="13" t="str">
        <f aca="false">IF($A26="","",IFERROR(INDEX('ISV Inventory'!$AG$6:$AG$255,MATCH(SMALL('ISV Inventory'!$AU$6:$AU$255,$A26),'ISV Inventory'!$AU$6:$AU$255,0))&amp;"",""))</f>
        <v/>
      </c>
      <c r="K26" s="13" t="str">
        <f aca="false">IF($A26="","",IFERROR(INDEX('ISV Inventory'!$AK$6:$AK$255,MATCH(SMALL('ISV Inventory'!$AU$6:$AU$255,$A26),'ISV Inventory'!$AU$6:$AU$255,0))&amp;"",""))</f>
        <v/>
      </c>
      <c r="L26" s="13" t="str">
        <f aca="false">IF($A26="","",IFERROR(INDEX('ISV Inventory'!$AR$6:$AR$255,MATCH(SMALL('ISV Inventory'!$AU$6:$AU$255,$A26),'ISV Inventory'!$AU$6:$AU$255,0))&amp;"",""))</f>
        <v/>
      </c>
      <c r="M26" s="13" t="str">
        <f aca="false">IF($A26="","",IFERROR(INDEX('ISV Inventory'!$AS$6:$AS$255,MATCH(SMALL('ISV Inventory'!$AU$6:$AU$255,$A26),'ISV Inventory'!$AU$6:$AU$255,0))&amp;"",""))</f>
        <v/>
      </c>
    </row>
    <row r="27" customFormat="false" ht="15" hidden="false" customHeight="false" outlineLevel="0" collapsed="false">
      <c r="A27" s="13" t="str">
        <f aca="false">IF(COUNT('ISV Inventory'!$AU$6:$AU$255)&lt;23,"",23)</f>
        <v/>
      </c>
      <c r="B27" s="47" t="str">
        <f aca="false">IF($A27="","",IFERROR(INDEX('ISV Inventory'!$V$6:$V$255,MATCH(SMALL('ISV Inventory'!$AU$6:$AU$255,$A27),'ISV Inventory'!$AU$6:$AU$255,0)),""))</f>
        <v/>
      </c>
      <c r="C27" s="48" t="str">
        <f aca="false">IF($A27="","",IFERROR(INDEX('ISV Inventory'!$AA$6:$AA$255,MATCH(SMALL('ISV Inventory'!$AU$6:$AU$255,$A27),'ISV Inventory'!$AU$6:$AU$255,0)),""))</f>
        <v/>
      </c>
      <c r="D27" s="13" t="str">
        <f aca="false">IF($A27="","",IFERROR(INDEX('ISV Inventory'!$AB$6:$AB$255,MATCH(SMALL('ISV Inventory'!$AU$6:$AU$255,$A27),'ISV Inventory'!$AU$6:$AU$255,0))&amp;"",""))</f>
        <v/>
      </c>
      <c r="E27" s="13" t="str">
        <f aca="false">IF($A27="","",IFERROR(INDEX('ISV Inventory'!$B$6:$B$255,MATCH(SMALL('ISV Inventory'!$AU$6:$AU$255,$A27),'ISV Inventory'!$AU$6:$AU$255,0))&amp;"",""))</f>
        <v/>
      </c>
      <c r="F27" s="13" t="str">
        <f aca="false">IF($A27="","",IFERROR(INDEX('ISV Inventory'!$F$6:$F$255,MATCH(SMALL('ISV Inventory'!$AU$6:$AU$255,$A27),'ISV Inventory'!$AU$6:$AU$255,0))&amp;"",""))</f>
        <v/>
      </c>
      <c r="G27" s="49" t="str">
        <f aca="false">IF($A27="","",IFERROR(INDEX('ISV Inventory'!$R$6:$R$255,MATCH(SMALL('ISV Inventory'!$AU$6:$AU$255,$A27),'ISV Inventory'!$AU$6:$AU$255,0)),""))</f>
        <v/>
      </c>
      <c r="H27" s="13" t="str">
        <f aca="false">IF($A27="","",IFERROR(INDEX('ISV Inventory'!$X$6:$X$255,MATCH(SMALL('ISV Inventory'!$AU$6:$AU$255,$A27),'ISV Inventory'!$AU$6:$AU$255,0))&amp;"",""))</f>
        <v/>
      </c>
      <c r="I27" s="47" t="str">
        <f aca="false">IF($A27="","",IFERROR(INDEX('ISV Inventory'!$Z$6:$Z$255,MATCH(SMALL('ISV Inventory'!$AU$6:$AU$255,$A27),'ISV Inventory'!$AU$6:$AU$255,0)),""))</f>
        <v/>
      </c>
      <c r="J27" s="13" t="str">
        <f aca="false">IF($A27="","",IFERROR(INDEX('ISV Inventory'!$AG$6:$AG$255,MATCH(SMALL('ISV Inventory'!$AU$6:$AU$255,$A27),'ISV Inventory'!$AU$6:$AU$255,0))&amp;"",""))</f>
        <v/>
      </c>
      <c r="K27" s="13" t="str">
        <f aca="false">IF($A27="","",IFERROR(INDEX('ISV Inventory'!$AK$6:$AK$255,MATCH(SMALL('ISV Inventory'!$AU$6:$AU$255,$A27),'ISV Inventory'!$AU$6:$AU$255,0))&amp;"",""))</f>
        <v/>
      </c>
      <c r="L27" s="13" t="str">
        <f aca="false">IF($A27="","",IFERROR(INDEX('ISV Inventory'!$AR$6:$AR$255,MATCH(SMALL('ISV Inventory'!$AU$6:$AU$255,$A27),'ISV Inventory'!$AU$6:$AU$255,0))&amp;"",""))</f>
        <v/>
      </c>
      <c r="M27" s="13" t="str">
        <f aca="false">IF($A27="","",IFERROR(INDEX('ISV Inventory'!$AS$6:$AS$255,MATCH(SMALL('ISV Inventory'!$AU$6:$AU$255,$A27),'ISV Inventory'!$AU$6:$AU$255,0))&amp;"",""))</f>
        <v/>
      </c>
    </row>
    <row r="28" customFormat="false" ht="15" hidden="false" customHeight="false" outlineLevel="0" collapsed="false">
      <c r="A28" s="13" t="str">
        <f aca="false">IF(COUNT('ISV Inventory'!$AU$6:$AU$255)&lt;24,"",24)</f>
        <v/>
      </c>
      <c r="B28" s="47" t="str">
        <f aca="false">IF($A28="","",IFERROR(INDEX('ISV Inventory'!$V$6:$V$255,MATCH(SMALL('ISV Inventory'!$AU$6:$AU$255,$A28),'ISV Inventory'!$AU$6:$AU$255,0)),""))</f>
        <v/>
      </c>
      <c r="C28" s="48" t="str">
        <f aca="false">IF($A28="","",IFERROR(INDEX('ISV Inventory'!$AA$6:$AA$255,MATCH(SMALL('ISV Inventory'!$AU$6:$AU$255,$A28),'ISV Inventory'!$AU$6:$AU$255,0)),""))</f>
        <v/>
      </c>
      <c r="D28" s="13" t="str">
        <f aca="false">IF($A28="","",IFERROR(INDEX('ISV Inventory'!$AB$6:$AB$255,MATCH(SMALL('ISV Inventory'!$AU$6:$AU$255,$A28),'ISV Inventory'!$AU$6:$AU$255,0))&amp;"",""))</f>
        <v/>
      </c>
      <c r="E28" s="13" t="str">
        <f aca="false">IF($A28="","",IFERROR(INDEX('ISV Inventory'!$B$6:$B$255,MATCH(SMALL('ISV Inventory'!$AU$6:$AU$255,$A28),'ISV Inventory'!$AU$6:$AU$255,0))&amp;"",""))</f>
        <v/>
      </c>
      <c r="F28" s="13" t="str">
        <f aca="false">IF($A28="","",IFERROR(INDEX('ISV Inventory'!$F$6:$F$255,MATCH(SMALL('ISV Inventory'!$AU$6:$AU$255,$A28),'ISV Inventory'!$AU$6:$AU$255,0))&amp;"",""))</f>
        <v/>
      </c>
      <c r="G28" s="49" t="str">
        <f aca="false">IF($A28="","",IFERROR(INDEX('ISV Inventory'!$R$6:$R$255,MATCH(SMALL('ISV Inventory'!$AU$6:$AU$255,$A28),'ISV Inventory'!$AU$6:$AU$255,0)),""))</f>
        <v/>
      </c>
      <c r="H28" s="13" t="str">
        <f aca="false">IF($A28="","",IFERROR(INDEX('ISV Inventory'!$X$6:$X$255,MATCH(SMALL('ISV Inventory'!$AU$6:$AU$255,$A28),'ISV Inventory'!$AU$6:$AU$255,0))&amp;"",""))</f>
        <v/>
      </c>
      <c r="I28" s="47" t="str">
        <f aca="false">IF($A28="","",IFERROR(INDEX('ISV Inventory'!$Z$6:$Z$255,MATCH(SMALL('ISV Inventory'!$AU$6:$AU$255,$A28),'ISV Inventory'!$AU$6:$AU$255,0)),""))</f>
        <v/>
      </c>
      <c r="J28" s="13" t="str">
        <f aca="false">IF($A28="","",IFERROR(INDEX('ISV Inventory'!$AG$6:$AG$255,MATCH(SMALL('ISV Inventory'!$AU$6:$AU$255,$A28),'ISV Inventory'!$AU$6:$AU$255,0))&amp;"",""))</f>
        <v/>
      </c>
      <c r="K28" s="13" t="str">
        <f aca="false">IF($A28="","",IFERROR(INDEX('ISV Inventory'!$AK$6:$AK$255,MATCH(SMALL('ISV Inventory'!$AU$6:$AU$255,$A28),'ISV Inventory'!$AU$6:$AU$255,0))&amp;"",""))</f>
        <v/>
      </c>
      <c r="L28" s="13" t="str">
        <f aca="false">IF($A28="","",IFERROR(INDEX('ISV Inventory'!$AR$6:$AR$255,MATCH(SMALL('ISV Inventory'!$AU$6:$AU$255,$A28),'ISV Inventory'!$AU$6:$AU$255,0))&amp;"",""))</f>
        <v/>
      </c>
      <c r="M28" s="13" t="str">
        <f aca="false">IF($A28="","",IFERROR(INDEX('ISV Inventory'!$AS$6:$AS$255,MATCH(SMALL('ISV Inventory'!$AU$6:$AU$255,$A28),'ISV Inventory'!$AU$6:$AU$255,0))&amp;"",""))</f>
        <v/>
      </c>
    </row>
    <row r="29" customFormat="false" ht="15" hidden="false" customHeight="false" outlineLevel="0" collapsed="false">
      <c r="A29" s="13" t="str">
        <f aca="false">IF(COUNT('ISV Inventory'!$AU$6:$AU$255)&lt;25,"",25)</f>
        <v/>
      </c>
      <c r="B29" s="47" t="str">
        <f aca="false">IF($A29="","",IFERROR(INDEX('ISV Inventory'!$V$6:$V$255,MATCH(SMALL('ISV Inventory'!$AU$6:$AU$255,$A29),'ISV Inventory'!$AU$6:$AU$255,0)),""))</f>
        <v/>
      </c>
      <c r="C29" s="48" t="str">
        <f aca="false">IF($A29="","",IFERROR(INDEX('ISV Inventory'!$AA$6:$AA$255,MATCH(SMALL('ISV Inventory'!$AU$6:$AU$255,$A29),'ISV Inventory'!$AU$6:$AU$255,0)),""))</f>
        <v/>
      </c>
      <c r="D29" s="13" t="str">
        <f aca="false">IF($A29="","",IFERROR(INDEX('ISV Inventory'!$AB$6:$AB$255,MATCH(SMALL('ISV Inventory'!$AU$6:$AU$255,$A29),'ISV Inventory'!$AU$6:$AU$255,0))&amp;"",""))</f>
        <v/>
      </c>
      <c r="E29" s="13" t="str">
        <f aca="false">IF($A29="","",IFERROR(INDEX('ISV Inventory'!$B$6:$B$255,MATCH(SMALL('ISV Inventory'!$AU$6:$AU$255,$A29),'ISV Inventory'!$AU$6:$AU$255,0))&amp;"",""))</f>
        <v/>
      </c>
      <c r="F29" s="13" t="str">
        <f aca="false">IF($A29="","",IFERROR(INDEX('ISV Inventory'!$F$6:$F$255,MATCH(SMALL('ISV Inventory'!$AU$6:$AU$255,$A29),'ISV Inventory'!$AU$6:$AU$255,0))&amp;"",""))</f>
        <v/>
      </c>
      <c r="G29" s="49" t="str">
        <f aca="false">IF($A29="","",IFERROR(INDEX('ISV Inventory'!$R$6:$R$255,MATCH(SMALL('ISV Inventory'!$AU$6:$AU$255,$A29),'ISV Inventory'!$AU$6:$AU$255,0)),""))</f>
        <v/>
      </c>
      <c r="H29" s="13" t="str">
        <f aca="false">IF($A29="","",IFERROR(INDEX('ISV Inventory'!$X$6:$X$255,MATCH(SMALL('ISV Inventory'!$AU$6:$AU$255,$A29),'ISV Inventory'!$AU$6:$AU$255,0))&amp;"",""))</f>
        <v/>
      </c>
      <c r="I29" s="47" t="str">
        <f aca="false">IF($A29="","",IFERROR(INDEX('ISV Inventory'!$Z$6:$Z$255,MATCH(SMALL('ISV Inventory'!$AU$6:$AU$255,$A29),'ISV Inventory'!$AU$6:$AU$255,0)),""))</f>
        <v/>
      </c>
      <c r="J29" s="13" t="str">
        <f aca="false">IF($A29="","",IFERROR(INDEX('ISV Inventory'!$AG$6:$AG$255,MATCH(SMALL('ISV Inventory'!$AU$6:$AU$255,$A29),'ISV Inventory'!$AU$6:$AU$255,0))&amp;"",""))</f>
        <v/>
      </c>
      <c r="K29" s="13" t="str">
        <f aca="false">IF($A29="","",IFERROR(INDEX('ISV Inventory'!$AK$6:$AK$255,MATCH(SMALL('ISV Inventory'!$AU$6:$AU$255,$A29),'ISV Inventory'!$AU$6:$AU$255,0))&amp;"",""))</f>
        <v/>
      </c>
      <c r="L29" s="13" t="str">
        <f aca="false">IF($A29="","",IFERROR(INDEX('ISV Inventory'!$AR$6:$AR$255,MATCH(SMALL('ISV Inventory'!$AU$6:$AU$255,$A29),'ISV Inventory'!$AU$6:$AU$255,0))&amp;"",""))</f>
        <v/>
      </c>
      <c r="M29" s="13" t="str">
        <f aca="false">IF($A29="","",IFERROR(INDEX('ISV Inventory'!$AS$6:$AS$255,MATCH(SMALL('ISV Inventory'!$AU$6:$AU$255,$A29),'ISV Inventory'!$AU$6:$AU$255,0))&amp;"",""))</f>
        <v/>
      </c>
    </row>
    <row r="30" customFormat="false" ht="15" hidden="false" customHeight="false" outlineLevel="0" collapsed="false">
      <c r="A30" s="13" t="str">
        <f aca="false">IF(COUNT('ISV Inventory'!$AU$6:$AU$255)&lt;26,"",26)</f>
        <v/>
      </c>
      <c r="B30" s="47" t="str">
        <f aca="false">IF($A30="","",IFERROR(INDEX('ISV Inventory'!$V$6:$V$255,MATCH(SMALL('ISV Inventory'!$AU$6:$AU$255,$A30),'ISV Inventory'!$AU$6:$AU$255,0)),""))</f>
        <v/>
      </c>
      <c r="C30" s="48" t="str">
        <f aca="false">IF($A30="","",IFERROR(INDEX('ISV Inventory'!$AA$6:$AA$255,MATCH(SMALL('ISV Inventory'!$AU$6:$AU$255,$A30),'ISV Inventory'!$AU$6:$AU$255,0)),""))</f>
        <v/>
      </c>
      <c r="D30" s="13" t="str">
        <f aca="false">IF($A30="","",IFERROR(INDEX('ISV Inventory'!$AB$6:$AB$255,MATCH(SMALL('ISV Inventory'!$AU$6:$AU$255,$A30),'ISV Inventory'!$AU$6:$AU$255,0))&amp;"",""))</f>
        <v/>
      </c>
      <c r="E30" s="13" t="str">
        <f aca="false">IF($A30="","",IFERROR(INDEX('ISV Inventory'!$B$6:$B$255,MATCH(SMALL('ISV Inventory'!$AU$6:$AU$255,$A30),'ISV Inventory'!$AU$6:$AU$255,0))&amp;"",""))</f>
        <v/>
      </c>
      <c r="F30" s="13" t="str">
        <f aca="false">IF($A30="","",IFERROR(INDEX('ISV Inventory'!$F$6:$F$255,MATCH(SMALL('ISV Inventory'!$AU$6:$AU$255,$A30),'ISV Inventory'!$AU$6:$AU$255,0))&amp;"",""))</f>
        <v/>
      </c>
      <c r="G30" s="49" t="str">
        <f aca="false">IF($A30="","",IFERROR(INDEX('ISV Inventory'!$R$6:$R$255,MATCH(SMALL('ISV Inventory'!$AU$6:$AU$255,$A30),'ISV Inventory'!$AU$6:$AU$255,0)),""))</f>
        <v/>
      </c>
      <c r="H30" s="13" t="str">
        <f aca="false">IF($A30="","",IFERROR(INDEX('ISV Inventory'!$X$6:$X$255,MATCH(SMALL('ISV Inventory'!$AU$6:$AU$255,$A30),'ISV Inventory'!$AU$6:$AU$255,0))&amp;"",""))</f>
        <v/>
      </c>
      <c r="I30" s="47" t="str">
        <f aca="false">IF($A30="","",IFERROR(INDEX('ISV Inventory'!$Z$6:$Z$255,MATCH(SMALL('ISV Inventory'!$AU$6:$AU$255,$A30),'ISV Inventory'!$AU$6:$AU$255,0)),""))</f>
        <v/>
      </c>
      <c r="J30" s="13" t="str">
        <f aca="false">IF($A30="","",IFERROR(INDEX('ISV Inventory'!$AG$6:$AG$255,MATCH(SMALL('ISV Inventory'!$AU$6:$AU$255,$A30),'ISV Inventory'!$AU$6:$AU$255,0))&amp;"",""))</f>
        <v/>
      </c>
      <c r="K30" s="13" t="str">
        <f aca="false">IF($A30="","",IFERROR(INDEX('ISV Inventory'!$AK$6:$AK$255,MATCH(SMALL('ISV Inventory'!$AU$6:$AU$255,$A30),'ISV Inventory'!$AU$6:$AU$255,0))&amp;"",""))</f>
        <v/>
      </c>
      <c r="L30" s="13" t="str">
        <f aca="false">IF($A30="","",IFERROR(INDEX('ISV Inventory'!$AR$6:$AR$255,MATCH(SMALL('ISV Inventory'!$AU$6:$AU$255,$A30),'ISV Inventory'!$AU$6:$AU$255,0))&amp;"",""))</f>
        <v/>
      </c>
      <c r="M30" s="13" t="str">
        <f aca="false">IF($A30="","",IFERROR(INDEX('ISV Inventory'!$AS$6:$AS$255,MATCH(SMALL('ISV Inventory'!$AU$6:$AU$255,$A30),'ISV Inventory'!$AU$6:$AU$255,0))&amp;"",""))</f>
        <v/>
      </c>
    </row>
    <row r="31" customFormat="false" ht="15" hidden="false" customHeight="false" outlineLevel="0" collapsed="false">
      <c r="A31" s="13" t="str">
        <f aca="false">IF(COUNT('ISV Inventory'!$AU$6:$AU$255)&lt;27,"",27)</f>
        <v/>
      </c>
      <c r="B31" s="47" t="str">
        <f aca="false">IF($A31="","",IFERROR(INDEX('ISV Inventory'!$V$6:$V$255,MATCH(SMALL('ISV Inventory'!$AU$6:$AU$255,$A31),'ISV Inventory'!$AU$6:$AU$255,0)),""))</f>
        <v/>
      </c>
      <c r="C31" s="48" t="str">
        <f aca="false">IF($A31="","",IFERROR(INDEX('ISV Inventory'!$AA$6:$AA$255,MATCH(SMALL('ISV Inventory'!$AU$6:$AU$255,$A31),'ISV Inventory'!$AU$6:$AU$255,0)),""))</f>
        <v/>
      </c>
      <c r="D31" s="13" t="str">
        <f aca="false">IF($A31="","",IFERROR(INDEX('ISV Inventory'!$AB$6:$AB$255,MATCH(SMALL('ISV Inventory'!$AU$6:$AU$255,$A31),'ISV Inventory'!$AU$6:$AU$255,0))&amp;"",""))</f>
        <v/>
      </c>
      <c r="E31" s="13" t="str">
        <f aca="false">IF($A31="","",IFERROR(INDEX('ISV Inventory'!$B$6:$B$255,MATCH(SMALL('ISV Inventory'!$AU$6:$AU$255,$A31),'ISV Inventory'!$AU$6:$AU$255,0))&amp;"",""))</f>
        <v/>
      </c>
      <c r="F31" s="13" t="str">
        <f aca="false">IF($A31="","",IFERROR(INDEX('ISV Inventory'!$F$6:$F$255,MATCH(SMALL('ISV Inventory'!$AU$6:$AU$255,$A31),'ISV Inventory'!$AU$6:$AU$255,0))&amp;"",""))</f>
        <v/>
      </c>
      <c r="G31" s="49" t="str">
        <f aca="false">IF($A31="","",IFERROR(INDEX('ISV Inventory'!$R$6:$R$255,MATCH(SMALL('ISV Inventory'!$AU$6:$AU$255,$A31),'ISV Inventory'!$AU$6:$AU$255,0)),""))</f>
        <v/>
      </c>
      <c r="H31" s="13" t="str">
        <f aca="false">IF($A31="","",IFERROR(INDEX('ISV Inventory'!$X$6:$X$255,MATCH(SMALL('ISV Inventory'!$AU$6:$AU$255,$A31),'ISV Inventory'!$AU$6:$AU$255,0))&amp;"",""))</f>
        <v/>
      </c>
      <c r="I31" s="47" t="str">
        <f aca="false">IF($A31="","",IFERROR(INDEX('ISV Inventory'!$Z$6:$Z$255,MATCH(SMALL('ISV Inventory'!$AU$6:$AU$255,$A31),'ISV Inventory'!$AU$6:$AU$255,0)),""))</f>
        <v/>
      </c>
      <c r="J31" s="13" t="str">
        <f aca="false">IF($A31="","",IFERROR(INDEX('ISV Inventory'!$AG$6:$AG$255,MATCH(SMALL('ISV Inventory'!$AU$6:$AU$255,$A31),'ISV Inventory'!$AU$6:$AU$255,0))&amp;"",""))</f>
        <v/>
      </c>
      <c r="K31" s="13" t="str">
        <f aca="false">IF($A31="","",IFERROR(INDEX('ISV Inventory'!$AK$6:$AK$255,MATCH(SMALL('ISV Inventory'!$AU$6:$AU$255,$A31),'ISV Inventory'!$AU$6:$AU$255,0))&amp;"",""))</f>
        <v/>
      </c>
      <c r="L31" s="13" t="str">
        <f aca="false">IF($A31="","",IFERROR(INDEX('ISV Inventory'!$AR$6:$AR$255,MATCH(SMALL('ISV Inventory'!$AU$6:$AU$255,$A31),'ISV Inventory'!$AU$6:$AU$255,0))&amp;"",""))</f>
        <v/>
      </c>
      <c r="M31" s="13" t="str">
        <f aca="false">IF($A31="","",IFERROR(INDEX('ISV Inventory'!$AS$6:$AS$255,MATCH(SMALL('ISV Inventory'!$AU$6:$AU$255,$A31),'ISV Inventory'!$AU$6:$AU$255,0))&amp;"",""))</f>
        <v/>
      </c>
    </row>
    <row r="32" customFormat="false" ht="15" hidden="false" customHeight="false" outlineLevel="0" collapsed="false">
      <c r="A32" s="13" t="str">
        <f aca="false">IF(COUNT('ISV Inventory'!$AU$6:$AU$255)&lt;28,"",28)</f>
        <v/>
      </c>
      <c r="B32" s="47" t="str">
        <f aca="false">IF($A32="","",IFERROR(INDEX('ISV Inventory'!$V$6:$V$255,MATCH(SMALL('ISV Inventory'!$AU$6:$AU$255,$A32),'ISV Inventory'!$AU$6:$AU$255,0)),""))</f>
        <v/>
      </c>
      <c r="C32" s="48" t="str">
        <f aca="false">IF($A32="","",IFERROR(INDEX('ISV Inventory'!$AA$6:$AA$255,MATCH(SMALL('ISV Inventory'!$AU$6:$AU$255,$A32),'ISV Inventory'!$AU$6:$AU$255,0)),""))</f>
        <v/>
      </c>
      <c r="D32" s="13" t="str">
        <f aca="false">IF($A32="","",IFERROR(INDEX('ISV Inventory'!$AB$6:$AB$255,MATCH(SMALL('ISV Inventory'!$AU$6:$AU$255,$A32),'ISV Inventory'!$AU$6:$AU$255,0))&amp;"",""))</f>
        <v/>
      </c>
      <c r="E32" s="13" t="str">
        <f aca="false">IF($A32="","",IFERROR(INDEX('ISV Inventory'!$B$6:$B$255,MATCH(SMALL('ISV Inventory'!$AU$6:$AU$255,$A32),'ISV Inventory'!$AU$6:$AU$255,0))&amp;"",""))</f>
        <v/>
      </c>
      <c r="F32" s="13" t="str">
        <f aca="false">IF($A32="","",IFERROR(INDEX('ISV Inventory'!$F$6:$F$255,MATCH(SMALL('ISV Inventory'!$AU$6:$AU$255,$A32),'ISV Inventory'!$AU$6:$AU$255,0))&amp;"",""))</f>
        <v/>
      </c>
      <c r="G32" s="49" t="str">
        <f aca="false">IF($A32="","",IFERROR(INDEX('ISV Inventory'!$R$6:$R$255,MATCH(SMALL('ISV Inventory'!$AU$6:$AU$255,$A32),'ISV Inventory'!$AU$6:$AU$255,0)),""))</f>
        <v/>
      </c>
      <c r="H32" s="13" t="str">
        <f aca="false">IF($A32="","",IFERROR(INDEX('ISV Inventory'!$X$6:$X$255,MATCH(SMALL('ISV Inventory'!$AU$6:$AU$255,$A32),'ISV Inventory'!$AU$6:$AU$255,0))&amp;"",""))</f>
        <v/>
      </c>
      <c r="I32" s="47" t="str">
        <f aca="false">IF($A32="","",IFERROR(INDEX('ISV Inventory'!$Z$6:$Z$255,MATCH(SMALL('ISV Inventory'!$AU$6:$AU$255,$A32),'ISV Inventory'!$AU$6:$AU$255,0)),""))</f>
        <v/>
      </c>
      <c r="J32" s="13" t="str">
        <f aca="false">IF($A32="","",IFERROR(INDEX('ISV Inventory'!$AG$6:$AG$255,MATCH(SMALL('ISV Inventory'!$AU$6:$AU$255,$A32),'ISV Inventory'!$AU$6:$AU$255,0))&amp;"",""))</f>
        <v/>
      </c>
      <c r="K32" s="13" t="str">
        <f aca="false">IF($A32="","",IFERROR(INDEX('ISV Inventory'!$AK$6:$AK$255,MATCH(SMALL('ISV Inventory'!$AU$6:$AU$255,$A32),'ISV Inventory'!$AU$6:$AU$255,0))&amp;"",""))</f>
        <v/>
      </c>
      <c r="L32" s="13" t="str">
        <f aca="false">IF($A32="","",IFERROR(INDEX('ISV Inventory'!$AR$6:$AR$255,MATCH(SMALL('ISV Inventory'!$AU$6:$AU$255,$A32),'ISV Inventory'!$AU$6:$AU$255,0))&amp;"",""))</f>
        <v/>
      </c>
      <c r="M32" s="13" t="str">
        <f aca="false">IF($A32="","",IFERROR(INDEX('ISV Inventory'!$AS$6:$AS$255,MATCH(SMALL('ISV Inventory'!$AU$6:$AU$255,$A32),'ISV Inventory'!$AU$6:$AU$255,0))&amp;"",""))</f>
        <v/>
      </c>
    </row>
    <row r="33" customFormat="false" ht="15" hidden="false" customHeight="false" outlineLevel="0" collapsed="false">
      <c r="A33" s="13" t="str">
        <f aca="false">IF(COUNT('ISV Inventory'!$AU$6:$AU$255)&lt;29,"",29)</f>
        <v/>
      </c>
      <c r="B33" s="47" t="str">
        <f aca="false">IF($A33="","",IFERROR(INDEX('ISV Inventory'!$V$6:$V$255,MATCH(SMALL('ISV Inventory'!$AU$6:$AU$255,$A33),'ISV Inventory'!$AU$6:$AU$255,0)),""))</f>
        <v/>
      </c>
      <c r="C33" s="48" t="str">
        <f aca="false">IF($A33="","",IFERROR(INDEX('ISV Inventory'!$AA$6:$AA$255,MATCH(SMALL('ISV Inventory'!$AU$6:$AU$255,$A33),'ISV Inventory'!$AU$6:$AU$255,0)),""))</f>
        <v/>
      </c>
      <c r="D33" s="13" t="str">
        <f aca="false">IF($A33="","",IFERROR(INDEX('ISV Inventory'!$AB$6:$AB$255,MATCH(SMALL('ISV Inventory'!$AU$6:$AU$255,$A33),'ISV Inventory'!$AU$6:$AU$255,0))&amp;"",""))</f>
        <v/>
      </c>
      <c r="E33" s="13" t="str">
        <f aca="false">IF($A33="","",IFERROR(INDEX('ISV Inventory'!$B$6:$B$255,MATCH(SMALL('ISV Inventory'!$AU$6:$AU$255,$A33),'ISV Inventory'!$AU$6:$AU$255,0))&amp;"",""))</f>
        <v/>
      </c>
      <c r="F33" s="13" t="str">
        <f aca="false">IF($A33="","",IFERROR(INDEX('ISV Inventory'!$F$6:$F$255,MATCH(SMALL('ISV Inventory'!$AU$6:$AU$255,$A33),'ISV Inventory'!$AU$6:$AU$255,0))&amp;"",""))</f>
        <v/>
      </c>
      <c r="G33" s="49" t="str">
        <f aca="false">IF($A33="","",IFERROR(INDEX('ISV Inventory'!$R$6:$R$255,MATCH(SMALL('ISV Inventory'!$AU$6:$AU$255,$A33),'ISV Inventory'!$AU$6:$AU$255,0)),""))</f>
        <v/>
      </c>
      <c r="H33" s="13" t="str">
        <f aca="false">IF($A33="","",IFERROR(INDEX('ISV Inventory'!$X$6:$X$255,MATCH(SMALL('ISV Inventory'!$AU$6:$AU$255,$A33),'ISV Inventory'!$AU$6:$AU$255,0))&amp;"",""))</f>
        <v/>
      </c>
      <c r="I33" s="47" t="str">
        <f aca="false">IF($A33="","",IFERROR(INDEX('ISV Inventory'!$Z$6:$Z$255,MATCH(SMALL('ISV Inventory'!$AU$6:$AU$255,$A33),'ISV Inventory'!$AU$6:$AU$255,0)),""))</f>
        <v/>
      </c>
      <c r="J33" s="13" t="str">
        <f aca="false">IF($A33="","",IFERROR(INDEX('ISV Inventory'!$AG$6:$AG$255,MATCH(SMALL('ISV Inventory'!$AU$6:$AU$255,$A33),'ISV Inventory'!$AU$6:$AU$255,0))&amp;"",""))</f>
        <v/>
      </c>
      <c r="K33" s="13" t="str">
        <f aca="false">IF($A33="","",IFERROR(INDEX('ISV Inventory'!$AK$6:$AK$255,MATCH(SMALL('ISV Inventory'!$AU$6:$AU$255,$A33),'ISV Inventory'!$AU$6:$AU$255,0))&amp;"",""))</f>
        <v/>
      </c>
      <c r="L33" s="13" t="str">
        <f aca="false">IF($A33="","",IFERROR(INDEX('ISV Inventory'!$AR$6:$AR$255,MATCH(SMALL('ISV Inventory'!$AU$6:$AU$255,$A33),'ISV Inventory'!$AU$6:$AU$255,0))&amp;"",""))</f>
        <v/>
      </c>
      <c r="M33" s="13" t="str">
        <f aca="false">IF($A33="","",IFERROR(INDEX('ISV Inventory'!$AS$6:$AS$255,MATCH(SMALL('ISV Inventory'!$AU$6:$AU$255,$A33),'ISV Inventory'!$AU$6:$AU$255,0))&amp;"",""))</f>
        <v/>
      </c>
    </row>
    <row r="34" customFormat="false" ht="15" hidden="false" customHeight="false" outlineLevel="0" collapsed="false">
      <c r="A34" s="13" t="str">
        <f aca="false">IF(COUNT('ISV Inventory'!$AU$6:$AU$255)&lt;30,"",30)</f>
        <v/>
      </c>
      <c r="B34" s="47" t="str">
        <f aca="false">IF($A34="","",IFERROR(INDEX('ISV Inventory'!$V$6:$V$255,MATCH(SMALL('ISV Inventory'!$AU$6:$AU$255,$A34),'ISV Inventory'!$AU$6:$AU$255,0)),""))</f>
        <v/>
      </c>
      <c r="C34" s="48" t="str">
        <f aca="false">IF($A34="","",IFERROR(INDEX('ISV Inventory'!$AA$6:$AA$255,MATCH(SMALL('ISV Inventory'!$AU$6:$AU$255,$A34),'ISV Inventory'!$AU$6:$AU$255,0)),""))</f>
        <v/>
      </c>
      <c r="D34" s="13" t="str">
        <f aca="false">IF($A34="","",IFERROR(INDEX('ISV Inventory'!$AB$6:$AB$255,MATCH(SMALL('ISV Inventory'!$AU$6:$AU$255,$A34),'ISV Inventory'!$AU$6:$AU$255,0))&amp;"",""))</f>
        <v/>
      </c>
      <c r="E34" s="13" t="str">
        <f aca="false">IF($A34="","",IFERROR(INDEX('ISV Inventory'!$B$6:$B$255,MATCH(SMALL('ISV Inventory'!$AU$6:$AU$255,$A34),'ISV Inventory'!$AU$6:$AU$255,0))&amp;"",""))</f>
        <v/>
      </c>
      <c r="F34" s="13" t="str">
        <f aca="false">IF($A34="","",IFERROR(INDEX('ISV Inventory'!$F$6:$F$255,MATCH(SMALL('ISV Inventory'!$AU$6:$AU$255,$A34),'ISV Inventory'!$AU$6:$AU$255,0))&amp;"",""))</f>
        <v/>
      </c>
      <c r="G34" s="49" t="str">
        <f aca="false">IF($A34="","",IFERROR(INDEX('ISV Inventory'!$R$6:$R$255,MATCH(SMALL('ISV Inventory'!$AU$6:$AU$255,$A34),'ISV Inventory'!$AU$6:$AU$255,0)),""))</f>
        <v/>
      </c>
      <c r="H34" s="13" t="str">
        <f aca="false">IF($A34="","",IFERROR(INDEX('ISV Inventory'!$X$6:$X$255,MATCH(SMALL('ISV Inventory'!$AU$6:$AU$255,$A34),'ISV Inventory'!$AU$6:$AU$255,0))&amp;"",""))</f>
        <v/>
      </c>
      <c r="I34" s="47" t="str">
        <f aca="false">IF($A34="","",IFERROR(INDEX('ISV Inventory'!$Z$6:$Z$255,MATCH(SMALL('ISV Inventory'!$AU$6:$AU$255,$A34),'ISV Inventory'!$AU$6:$AU$255,0)),""))</f>
        <v/>
      </c>
      <c r="J34" s="13" t="str">
        <f aca="false">IF($A34="","",IFERROR(INDEX('ISV Inventory'!$AG$6:$AG$255,MATCH(SMALL('ISV Inventory'!$AU$6:$AU$255,$A34),'ISV Inventory'!$AU$6:$AU$255,0))&amp;"",""))</f>
        <v/>
      </c>
      <c r="K34" s="13" t="str">
        <f aca="false">IF($A34="","",IFERROR(INDEX('ISV Inventory'!$AK$6:$AK$255,MATCH(SMALL('ISV Inventory'!$AU$6:$AU$255,$A34),'ISV Inventory'!$AU$6:$AU$255,0))&amp;"",""))</f>
        <v/>
      </c>
      <c r="L34" s="13" t="str">
        <f aca="false">IF($A34="","",IFERROR(INDEX('ISV Inventory'!$AR$6:$AR$255,MATCH(SMALL('ISV Inventory'!$AU$6:$AU$255,$A34),'ISV Inventory'!$AU$6:$AU$255,0))&amp;"",""))</f>
        <v/>
      </c>
      <c r="M34" s="13" t="str">
        <f aca="false">IF($A34="","",IFERROR(INDEX('ISV Inventory'!$AS$6:$AS$255,MATCH(SMALL('ISV Inventory'!$AU$6:$AU$255,$A34),'ISV Inventory'!$AU$6:$AU$255,0))&amp;"",""))</f>
        <v/>
      </c>
    </row>
    <row r="35" customFormat="false" ht="15" hidden="false" customHeight="false" outlineLevel="0" collapsed="false">
      <c r="A35" s="13" t="str">
        <f aca="false">IF(COUNT('ISV Inventory'!$AU$6:$AU$255)&lt;31,"",31)</f>
        <v/>
      </c>
      <c r="B35" s="47" t="str">
        <f aca="false">IF($A35="","",IFERROR(INDEX('ISV Inventory'!$V$6:$V$255,MATCH(SMALL('ISV Inventory'!$AU$6:$AU$255,$A35),'ISV Inventory'!$AU$6:$AU$255,0)),""))</f>
        <v/>
      </c>
      <c r="C35" s="48" t="str">
        <f aca="false">IF($A35="","",IFERROR(INDEX('ISV Inventory'!$AA$6:$AA$255,MATCH(SMALL('ISV Inventory'!$AU$6:$AU$255,$A35),'ISV Inventory'!$AU$6:$AU$255,0)),""))</f>
        <v/>
      </c>
      <c r="D35" s="13" t="str">
        <f aca="false">IF($A35="","",IFERROR(INDEX('ISV Inventory'!$AB$6:$AB$255,MATCH(SMALL('ISV Inventory'!$AU$6:$AU$255,$A35),'ISV Inventory'!$AU$6:$AU$255,0))&amp;"",""))</f>
        <v/>
      </c>
      <c r="E35" s="13" t="str">
        <f aca="false">IF($A35="","",IFERROR(INDEX('ISV Inventory'!$B$6:$B$255,MATCH(SMALL('ISV Inventory'!$AU$6:$AU$255,$A35),'ISV Inventory'!$AU$6:$AU$255,0))&amp;"",""))</f>
        <v/>
      </c>
      <c r="F35" s="13" t="str">
        <f aca="false">IF($A35="","",IFERROR(INDEX('ISV Inventory'!$F$6:$F$255,MATCH(SMALL('ISV Inventory'!$AU$6:$AU$255,$A35),'ISV Inventory'!$AU$6:$AU$255,0))&amp;"",""))</f>
        <v/>
      </c>
      <c r="G35" s="49" t="str">
        <f aca="false">IF($A35="","",IFERROR(INDEX('ISV Inventory'!$R$6:$R$255,MATCH(SMALL('ISV Inventory'!$AU$6:$AU$255,$A35),'ISV Inventory'!$AU$6:$AU$255,0)),""))</f>
        <v/>
      </c>
      <c r="H35" s="13" t="str">
        <f aca="false">IF($A35="","",IFERROR(INDEX('ISV Inventory'!$X$6:$X$255,MATCH(SMALL('ISV Inventory'!$AU$6:$AU$255,$A35),'ISV Inventory'!$AU$6:$AU$255,0))&amp;"",""))</f>
        <v/>
      </c>
      <c r="I35" s="47" t="str">
        <f aca="false">IF($A35="","",IFERROR(INDEX('ISV Inventory'!$Z$6:$Z$255,MATCH(SMALL('ISV Inventory'!$AU$6:$AU$255,$A35),'ISV Inventory'!$AU$6:$AU$255,0)),""))</f>
        <v/>
      </c>
      <c r="J35" s="13" t="str">
        <f aca="false">IF($A35="","",IFERROR(INDEX('ISV Inventory'!$AG$6:$AG$255,MATCH(SMALL('ISV Inventory'!$AU$6:$AU$255,$A35),'ISV Inventory'!$AU$6:$AU$255,0))&amp;"",""))</f>
        <v/>
      </c>
      <c r="K35" s="13" t="str">
        <f aca="false">IF($A35="","",IFERROR(INDEX('ISV Inventory'!$AK$6:$AK$255,MATCH(SMALL('ISV Inventory'!$AU$6:$AU$255,$A35),'ISV Inventory'!$AU$6:$AU$255,0))&amp;"",""))</f>
        <v/>
      </c>
      <c r="L35" s="13" t="str">
        <f aca="false">IF($A35="","",IFERROR(INDEX('ISV Inventory'!$AR$6:$AR$255,MATCH(SMALL('ISV Inventory'!$AU$6:$AU$255,$A35),'ISV Inventory'!$AU$6:$AU$255,0))&amp;"",""))</f>
        <v/>
      </c>
      <c r="M35" s="13" t="str">
        <f aca="false">IF($A35="","",IFERROR(INDEX('ISV Inventory'!$AS$6:$AS$255,MATCH(SMALL('ISV Inventory'!$AU$6:$AU$255,$A35),'ISV Inventory'!$AU$6:$AU$255,0))&amp;"",""))</f>
        <v/>
      </c>
    </row>
    <row r="36" customFormat="false" ht="15" hidden="false" customHeight="false" outlineLevel="0" collapsed="false">
      <c r="A36" s="13" t="str">
        <f aca="false">IF(COUNT('ISV Inventory'!$AU$6:$AU$255)&lt;32,"",32)</f>
        <v/>
      </c>
      <c r="B36" s="47" t="str">
        <f aca="false">IF($A36="","",IFERROR(INDEX('ISV Inventory'!$V$6:$V$255,MATCH(SMALL('ISV Inventory'!$AU$6:$AU$255,$A36),'ISV Inventory'!$AU$6:$AU$255,0)),""))</f>
        <v/>
      </c>
      <c r="C36" s="48" t="str">
        <f aca="false">IF($A36="","",IFERROR(INDEX('ISV Inventory'!$AA$6:$AA$255,MATCH(SMALL('ISV Inventory'!$AU$6:$AU$255,$A36),'ISV Inventory'!$AU$6:$AU$255,0)),""))</f>
        <v/>
      </c>
      <c r="D36" s="13" t="str">
        <f aca="false">IF($A36="","",IFERROR(INDEX('ISV Inventory'!$AB$6:$AB$255,MATCH(SMALL('ISV Inventory'!$AU$6:$AU$255,$A36),'ISV Inventory'!$AU$6:$AU$255,0))&amp;"",""))</f>
        <v/>
      </c>
      <c r="E36" s="13" t="str">
        <f aca="false">IF($A36="","",IFERROR(INDEX('ISV Inventory'!$B$6:$B$255,MATCH(SMALL('ISV Inventory'!$AU$6:$AU$255,$A36),'ISV Inventory'!$AU$6:$AU$255,0))&amp;"",""))</f>
        <v/>
      </c>
      <c r="F36" s="13" t="str">
        <f aca="false">IF($A36="","",IFERROR(INDEX('ISV Inventory'!$F$6:$F$255,MATCH(SMALL('ISV Inventory'!$AU$6:$AU$255,$A36),'ISV Inventory'!$AU$6:$AU$255,0))&amp;"",""))</f>
        <v/>
      </c>
      <c r="G36" s="49" t="str">
        <f aca="false">IF($A36="","",IFERROR(INDEX('ISV Inventory'!$R$6:$R$255,MATCH(SMALL('ISV Inventory'!$AU$6:$AU$255,$A36),'ISV Inventory'!$AU$6:$AU$255,0)),""))</f>
        <v/>
      </c>
      <c r="H36" s="13" t="str">
        <f aca="false">IF($A36="","",IFERROR(INDEX('ISV Inventory'!$X$6:$X$255,MATCH(SMALL('ISV Inventory'!$AU$6:$AU$255,$A36),'ISV Inventory'!$AU$6:$AU$255,0))&amp;"",""))</f>
        <v/>
      </c>
      <c r="I36" s="47" t="str">
        <f aca="false">IF($A36="","",IFERROR(INDEX('ISV Inventory'!$Z$6:$Z$255,MATCH(SMALL('ISV Inventory'!$AU$6:$AU$255,$A36),'ISV Inventory'!$AU$6:$AU$255,0)),""))</f>
        <v/>
      </c>
      <c r="J36" s="13" t="str">
        <f aca="false">IF($A36="","",IFERROR(INDEX('ISV Inventory'!$AG$6:$AG$255,MATCH(SMALL('ISV Inventory'!$AU$6:$AU$255,$A36),'ISV Inventory'!$AU$6:$AU$255,0))&amp;"",""))</f>
        <v/>
      </c>
      <c r="K36" s="13" t="str">
        <f aca="false">IF($A36="","",IFERROR(INDEX('ISV Inventory'!$AK$6:$AK$255,MATCH(SMALL('ISV Inventory'!$AU$6:$AU$255,$A36),'ISV Inventory'!$AU$6:$AU$255,0))&amp;"",""))</f>
        <v/>
      </c>
      <c r="L36" s="13" t="str">
        <f aca="false">IF($A36="","",IFERROR(INDEX('ISV Inventory'!$AR$6:$AR$255,MATCH(SMALL('ISV Inventory'!$AU$6:$AU$255,$A36),'ISV Inventory'!$AU$6:$AU$255,0))&amp;"",""))</f>
        <v/>
      </c>
      <c r="M36" s="13" t="str">
        <f aca="false">IF($A36="","",IFERROR(INDEX('ISV Inventory'!$AS$6:$AS$255,MATCH(SMALL('ISV Inventory'!$AU$6:$AU$255,$A36),'ISV Inventory'!$AU$6:$AU$255,0))&amp;"",""))</f>
        <v/>
      </c>
    </row>
    <row r="37" customFormat="false" ht="15" hidden="false" customHeight="false" outlineLevel="0" collapsed="false">
      <c r="A37" s="13" t="str">
        <f aca="false">IF(COUNT('ISV Inventory'!$AU$6:$AU$255)&lt;33,"",33)</f>
        <v/>
      </c>
      <c r="B37" s="47" t="str">
        <f aca="false">IF($A37="","",IFERROR(INDEX('ISV Inventory'!$V$6:$V$255,MATCH(SMALL('ISV Inventory'!$AU$6:$AU$255,$A37),'ISV Inventory'!$AU$6:$AU$255,0)),""))</f>
        <v/>
      </c>
      <c r="C37" s="48" t="str">
        <f aca="false">IF($A37="","",IFERROR(INDEX('ISV Inventory'!$AA$6:$AA$255,MATCH(SMALL('ISV Inventory'!$AU$6:$AU$255,$A37),'ISV Inventory'!$AU$6:$AU$255,0)),""))</f>
        <v/>
      </c>
      <c r="D37" s="13" t="str">
        <f aca="false">IF($A37="","",IFERROR(INDEX('ISV Inventory'!$AB$6:$AB$255,MATCH(SMALL('ISV Inventory'!$AU$6:$AU$255,$A37),'ISV Inventory'!$AU$6:$AU$255,0))&amp;"",""))</f>
        <v/>
      </c>
      <c r="E37" s="13" t="str">
        <f aca="false">IF($A37="","",IFERROR(INDEX('ISV Inventory'!$B$6:$B$255,MATCH(SMALL('ISV Inventory'!$AU$6:$AU$255,$A37),'ISV Inventory'!$AU$6:$AU$255,0))&amp;"",""))</f>
        <v/>
      </c>
      <c r="F37" s="13" t="str">
        <f aca="false">IF($A37="","",IFERROR(INDEX('ISV Inventory'!$F$6:$F$255,MATCH(SMALL('ISV Inventory'!$AU$6:$AU$255,$A37),'ISV Inventory'!$AU$6:$AU$255,0))&amp;"",""))</f>
        <v/>
      </c>
      <c r="G37" s="49" t="str">
        <f aca="false">IF($A37="","",IFERROR(INDEX('ISV Inventory'!$R$6:$R$255,MATCH(SMALL('ISV Inventory'!$AU$6:$AU$255,$A37),'ISV Inventory'!$AU$6:$AU$255,0)),""))</f>
        <v/>
      </c>
      <c r="H37" s="13" t="str">
        <f aca="false">IF($A37="","",IFERROR(INDEX('ISV Inventory'!$X$6:$X$255,MATCH(SMALL('ISV Inventory'!$AU$6:$AU$255,$A37),'ISV Inventory'!$AU$6:$AU$255,0))&amp;"",""))</f>
        <v/>
      </c>
      <c r="I37" s="47" t="str">
        <f aca="false">IF($A37="","",IFERROR(INDEX('ISV Inventory'!$Z$6:$Z$255,MATCH(SMALL('ISV Inventory'!$AU$6:$AU$255,$A37),'ISV Inventory'!$AU$6:$AU$255,0)),""))</f>
        <v/>
      </c>
      <c r="J37" s="13" t="str">
        <f aca="false">IF($A37="","",IFERROR(INDEX('ISV Inventory'!$AG$6:$AG$255,MATCH(SMALL('ISV Inventory'!$AU$6:$AU$255,$A37),'ISV Inventory'!$AU$6:$AU$255,0))&amp;"",""))</f>
        <v/>
      </c>
      <c r="K37" s="13" t="str">
        <f aca="false">IF($A37="","",IFERROR(INDEX('ISV Inventory'!$AK$6:$AK$255,MATCH(SMALL('ISV Inventory'!$AU$6:$AU$255,$A37),'ISV Inventory'!$AU$6:$AU$255,0))&amp;"",""))</f>
        <v/>
      </c>
      <c r="L37" s="13" t="str">
        <f aca="false">IF($A37="","",IFERROR(INDEX('ISV Inventory'!$AR$6:$AR$255,MATCH(SMALL('ISV Inventory'!$AU$6:$AU$255,$A37),'ISV Inventory'!$AU$6:$AU$255,0))&amp;"",""))</f>
        <v/>
      </c>
      <c r="M37" s="13" t="str">
        <f aca="false">IF($A37="","",IFERROR(INDEX('ISV Inventory'!$AS$6:$AS$255,MATCH(SMALL('ISV Inventory'!$AU$6:$AU$255,$A37),'ISV Inventory'!$AU$6:$AU$255,0))&amp;"",""))</f>
        <v/>
      </c>
    </row>
    <row r="38" customFormat="false" ht="15" hidden="false" customHeight="false" outlineLevel="0" collapsed="false">
      <c r="A38" s="13" t="str">
        <f aca="false">IF(COUNT('ISV Inventory'!$AU$6:$AU$255)&lt;34,"",34)</f>
        <v/>
      </c>
      <c r="B38" s="47" t="str">
        <f aca="false">IF($A38="","",IFERROR(INDEX('ISV Inventory'!$V$6:$V$255,MATCH(SMALL('ISV Inventory'!$AU$6:$AU$255,$A38),'ISV Inventory'!$AU$6:$AU$255,0)),""))</f>
        <v/>
      </c>
      <c r="C38" s="48" t="str">
        <f aca="false">IF($A38="","",IFERROR(INDEX('ISV Inventory'!$AA$6:$AA$255,MATCH(SMALL('ISV Inventory'!$AU$6:$AU$255,$A38),'ISV Inventory'!$AU$6:$AU$255,0)),""))</f>
        <v/>
      </c>
      <c r="D38" s="13" t="str">
        <f aca="false">IF($A38="","",IFERROR(INDEX('ISV Inventory'!$AB$6:$AB$255,MATCH(SMALL('ISV Inventory'!$AU$6:$AU$255,$A38),'ISV Inventory'!$AU$6:$AU$255,0))&amp;"",""))</f>
        <v/>
      </c>
      <c r="E38" s="13" t="str">
        <f aca="false">IF($A38="","",IFERROR(INDEX('ISV Inventory'!$B$6:$B$255,MATCH(SMALL('ISV Inventory'!$AU$6:$AU$255,$A38),'ISV Inventory'!$AU$6:$AU$255,0))&amp;"",""))</f>
        <v/>
      </c>
      <c r="F38" s="13" t="str">
        <f aca="false">IF($A38="","",IFERROR(INDEX('ISV Inventory'!$F$6:$F$255,MATCH(SMALL('ISV Inventory'!$AU$6:$AU$255,$A38),'ISV Inventory'!$AU$6:$AU$255,0))&amp;"",""))</f>
        <v/>
      </c>
      <c r="G38" s="49" t="str">
        <f aca="false">IF($A38="","",IFERROR(INDEX('ISV Inventory'!$R$6:$R$255,MATCH(SMALL('ISV Inventory'!$AU$6:$AU$255,$A38),'ISV Inventory'!$AU$6:$AU$255,0)),""))</f>
        <v/>
      </c>
      <c r="H38" s="13" t="str">
        <f aca="false">IF($A38="","",IFERROR(INDEX('ISV Inventory'!$X$6:$X$255,MATCH(SMALL('ISV Inventory'!$AU$6:$AU$255,$A38),'ISV Inventory'!$AU$6:$AU$255,0))&amp;"",""))</f>
        <v/>
      </c>
      <c r="I38" s="47" t="str">
        <f aca="false">IF($A38="","",IFERROR(INDEX('ISV Inventory'!$Z$6:$Z$255,MATCH(SMALL('ISV Inventory'!$AU$6:$AU$255,$A38),'ISV Inventory'!$AU$6:$AU$255,0)),""))</f>
        <v/>
      </c>
      <c r="J38" s="13" t="str">
        <f aca="false">IF($A38="","",IFERROR(INDEX('ISV Inventory'!$AG$6:$AG$255,MATCH(SMALL('ISV Inventory'!$AU$6:$AU$255,$A38),'ISV Inventory'!$AU$6:$AU$255,0))&amp;"",""))</f>
        <v/>
      </c>
      <c r="K38" s="13" t="str">
        <f aca="false">IF($A38="","",IFERROR(INDEX('ISV Inventory'!$AK$6:$AK$255,MATCH(SMALL('ISV Inventory'!$AU$6:$AU$255,$A38),'ISV Inventory'!$AU$6:$AU$255,0))&amp;"",""))</f>
        <v/>
      </c>
      <c r="L38" s="13" t="str">
        <f aca="false">IF($A38="","",IFERROR(INDEX('ISV Inventory'!$AR$6:$AR$255,MATCH(SMALL('ISV Inventory'!$AU$6:$AU$255,$A38),'ISV Inventory'!$AU$6:$AU$255,0))&amp;"",""))</f>
        <v/>
      </c>
      <c r="M38" s="13" t="str">
        <f aca="false">IF($A38="","",IFERROR(INDEX('ISV Inventory'!$AS$6:$AS$255,MATCH(SMALL('ISV Inventory'!$AU$6:$AU$255,$A38),'ISV Inventory'!$AU$6:$AU$255,0))&amp;"",""))</f>
        <v/>
      </c>
    </row>
    <row r="39" customFormat="false" ht="15" hidden="false" customHeight="false" outlineLevel="0" collapsed="false">
      <c r="A39" s="13" t="str">
        <f aca="false">IF(COUNT('ISV Inventory'!$AU$6:$AU$255)&lt;35,"",35)</f>
        <v/>
      </c>
      <c r="B39" s="47" t="str">
        <f aca="false">IF($A39="","",IFERROR(INDEX('ISV Inventory'!$V$6:$V$255,MATCH(SMALL('ISV Inventory'!$AU$6:$AU$255,$A39),'ISV Inventory'!$AU$6:$AU$255,0)),""))</f>
        <v/>
      </c>
      <c r="C39" s="48" t="str">
        <f aca="false">IF($A39="","",IFERROR(INDEX('ISV Inventory'!$AA$6:$AA$255,MATCH(SMALL('ISV Inventory'!$AU$6:$AU$255,$A39),'ISV Inventory'!$AU$6:$AU$255,0)),""))</f>
        <v/>
      </c>
      <c r="D39" s="13" t="str">
        <f aca="false">IF($A39="","",IFERROR(INDEX('ISV Inventory'!$AB$6:$AB$255,MATCH(SMALL('ISV Inventory'!$AU$6:$AU$255,$A39),'ISV Inventory'!$AU$6:$AU$255,0))&amp;"",""))</f>
        <v/>
      </c>
      <c r="E39" s="13" t="str">
        <f aca="false">IF($A39="","",IFERROR(INDEX('ISV Inventory'!$B$6:$B$255,MATCH(SMALL('ISV Inventory'!$AU$6:$AU$255,$A39),'ISV Inventory'!$AU$6:$AU$255,0))&amp;"",""))</f>
        <v/>
      </c>
      <c r="F39" s="13" t="str">
        <f aca="false">IF($A39="","",IFERROR(INDEX('ISV Inventory'!$F$6:$F$255,MATCH(SMALL('ISV Inventory'!$AU$6:$AU$255,$A39),'ISV Inventory'!$AU$6:$AU$255,0))&amp;"",""))</f>
        <v/>
      </c>
      <c r="G39" s="49" t="str">
        <f aca="false">IF($A39="","",IFERROR(INDEX('ISV Inventory'!$R$6:$R$255,MATCH(SMALL('ISV Inventory'!$AU$6:$AU$255,$A39),'ISV Inventory'!$AU$6:$AU$255,0)),""))</f>
        <v/>
      </c>
      <c r="H39" s="13" t="str">
        <f aca="false">IF($A39="","",IFERROR(INDEX('ISV Inventory'!$X$6:$X$255,MATCH(SMALL('ISV Inventory'!$AU$6:$AU$255,$A39),'ISV Inventory'!$AU$6:$AU$255,0))&amp;"",""))</f>
        <v/>
      </c>
      <c r="I39" s="47" t="str">
        <f aca="false">IF($A39="","",IFERROR(INDEX('ISV Inventory'!$Z$6:$Z$255,MATCH(SMALL('ISV Inventory'!$AU$6:$AU$255,$A39),'ISV Inventory'!$AU$6:$AU$255,0)),""))</f>
        <v/>
      </c>
      <c r="J39" s="13" t="str">
        <f aca="false">IF($A39="","",IFERROR(INDEX('ISV Inventory'!$AG$6:$AG$255,MATCH(SMALL('ISV Inventory'!$AU$6:$AU$255,$A39),'ISV Inventory'!$AU$6:$AU$255,0))&amp;"",""))</f>
        <v/>
      </c>
      <c r="K39" s="13" t="str">
        <f aca="false">IF($A39="","",IFERROR(INDEX('ISV Inventory'!$AK$6:$AK$255,MATCH(SMALL('ISV Inventory'!$AU$6:$AU$255,$A39),'ISV Inventory'!$AU$6:$AU$255,0))&amp;"",""))</f>
        <v/>
      </c>
      <c r="L39" s="13" t="str">
        <f aca="false">IF($A39="","",IFERROR(INDEX('ISV Inventory'!$AR$6:$AR$255,MATCH(SMALL('ISV Inventory'!$AU$6:$AU$255,$A39),'ISV Inventory'!$AU$6:$AU$255,0))&amp;"",""))</f>
        <v/>
      </c>
      <c r="M39" s="13" t="str">
        <f aca="false">IF($A39="","",IFERROR(INDEX('ISV Inventory'!$AS$6:$AS$255,MATCH(SMALL('ISV Inventory'!$AU$6:$AU$255,$A39),'ISV Inventory'!$AU$6:$AU$255,0))&amp;"",""))</f>
        <v/>
      </c>
    </row>
    <row r="40" customFormat="false" ht="15" hidden="false" customHeight="false" outlineLevel="0" collapsed="false">
      <c r="A40" s="13" t="str">
        <f aca="false">IF(COUNT('ISV Inventory'!$AU$6:$AU$255)&lt;36,"",36)</f>
        <v/>
      </c>
      <c r="B40" s="47" t="str">
        <f aca="false">IF($A40="","",IFERROR(INDEX('ISV Inventory'!$V$6:$V$255,MATCH(SMALL('ISV Inventory'!$AU$6:$AU$255,$A40),'ISV Inventory'!$AU$6:$AU$255,0)),""))</f>
        <v/>
      </c>
      <c r="C40" s="48" t="str">
        <f aca="false">IF($A40="","",IFERROR(INDEX('ISV Inventory'!$AA$6:$AA$255,MATCH(SMALL('ISV Inventory'!$AU$6:$AU$255,$A40),'ISV Inventory'!$AU$6:$AU$255,0)),""))</f>
        <v/>
      </c>
      <c r="D40" s="13" t="str">
        <f aca="false">IF($A40="","",IFERROR(INDEX('ISV Inventory'!$AB$6:$AB$255,MATCH(SMALL('ISV Inventory'!$AU$6:$AU$255,$A40),'ISV Inventory'!$AU$6:$AU$255,0))&amp;"",""))</f>
        <v/>
      </c>
      <c r="E40" s="13" t="str">
        <f aca="false">IF($A40="","",IFERROR(INDEX('ISV Inventory'!$B$6:$B$255,MATCH(SMALL('ISV Inventory'!$AU$6:$AU$255,$A40),'ISV Inventory'!$AU$6:$AU$255,0))&amp;"",""))</f>
        <v/>
      </c>
      <c r="F40" s="13" t="str">
        <f aca="false">IF($A40="","",IFERROR(INDEX('ISV Inventory'!$F$6:$F$255,MATCH(SMALL('ISV Inventory'!$AU$6:$AU$255,$A40),'ISV Inventory'!$AU$6:$AU$255,0))&amp;"",""))</f>
        <v/>
      </c>
      <c r="G40" s="49" t="str">
        <f aca="false">IF($A40="","",IFERROR(INDEX('ISV Inventory'!$R$6:$R$255,MATCH(SMALL('ISV Inventory'!$AU$6:$AU$255,$A40),'ISV Inventory'!$AU$6:$AU$255,0)),""))</f>
        <v/>
      </c>
      <c r="H40" s="13" t="str">
        <f aca="false">IF($A40="","",IFERROR(INDEX('ISV Inventory'!$X$6:$X$255,MATCH(SMALL('ISV Inventory'!$AU$6:$AU$255,$A40),'ISV Inventory'!$AU$6:$AU$255,0))&amp;"",""))</f>
        <v/>
      </c>
      <c r="I40" s="47" t="str">
        <f aca="false">IF($A40="","",IFERROR(INDEX('ISV Inventory'!$Z$6:$Z$255,MATCH(SMALL('ISV Inventory'!$AU$6:$AU$255,$A40),'ISV Inventory'!$AU$6:$AU$255,0)),""))</f>
        <v/>
      </c>
      <c r="J40" s="13" t="str">
        <f aca="false">IF($A40="","",IFERROR(INDEX('ISV Inventory'!$AG$6:$AG$255,MATCH(SMALL('ISV Inventory'!$AU$6:$AU$255,$A40),'ISV Inventory'!$AU$6:$AU$255,0))&amp;"",""))</f>
        <v/>
      </c>
      <c r="K40" s="13" t="str">
        <f aca="false">IF($A40="","",IFERROR(INDEX('ISV Inventory'!$AK$6:$AK$255,MATCH(SMALL('ISV Inventory'!$AU$6:$AU$255,$A40),'ISV Inventory'!$AU$6:$AU$255,0))&amp;"",""))</f>
        <v/>
      </c>
      <c r="L40" s="13" t="str">
        <f aca="false">IF($A40="","",IFERROR(INDEX('ISV Inventory'!$AR$6:$AR$255,MATCH(SMALL('ISV Inventory'!$AU$6:$AU$255,$A40),'ISV Inventory'!$AU$6:$AU$255,0))&amp;"",""))</f>
        <v/>
      </c>
      <c r="M40" s="13" t="str">
        <f aca="false">IF($A40="","",IFERROR(INDEX('ISV Inventory'!$AS$6:$AS$255,MATCH(SMALL('ISV Inventory'!$AU$6:$AU$255,$A40),'ISV Inventory'!$AU$6:$AU$255,0))&amp;"",""))</f>
        <v/>
      </c>
    </row>
    <row r="41" customFormat="false" ht="15" hidden="false" customHeight="false" outlineLevel="0" collapsed="false">
      <c r="A41" s="13" t="str">
        <f aca="false">IF(COUNT('ISV Inventory'!$AU$6:$AU$255)&lt;37,"",37)</f>
        <v/>
      </c>
      <c r="B41" s="47" t="str">
        <f aca="false">IF($A41="","",IFERROR(INDEX('ISV Inventory'!$V$6:$V$255,MATCH(SMALL('ISV Inventory'!$AU$6:$AU$255,$A41),'ISV Inventory'!$AU$6:$AU$255,0)),""))</f>
        <v/>
      </c>
      <c r="C41" s="48" t="str">
        <f aca="false">IF($A41="","",IFERROR(INDEX('ISV Inventory'!$AA$6:$AA$255,MATCH(SMALL('ISV Inventory'!$AU$6:$AU$255,$A41),'ISV Inventory'!$AU$6:$AU$255,0)),""))</f>
        <v/>
      </c>
      <c r="D41" s="13" t="str">
        <f aca="false">IF($A41="","",IFERROR(INDEX('ISV Inventory'!$AB$6:$AB$255,MATCH(SMALL('ISV Inventory'!$AU$6:$AU$255,$A41),'ISV Inventory'!$AU$6:$AU$255,0))&amp;"",""))</f>
        <v/>
      </c>
      <c r="E41" s="13" t="str">
        <f aca="false">IF($A41="","",IFERROR(INDEX('ISV Inventory'!$B$6:$B$255,MATCH(SMALL('ISV Inventory'!$AU$6:$AU$255,$A41),'ISV Inventory'!$AU$6:$AU$255,0))&amp;"",""))</f>
        <v/>
      </c>
      <c r="F41" s="13" t="str">
        <f aca="false">IF($A41="","",IFERROR(INDEX('ISV Inventory'!$F$6:$F$255,MATCH(SMALL('ISV Inventory'!$AU$6:$AU$255,$A41),'ISV Inventory'!$AU$6:$AU$255,0))&amp;"",""))</f>
        <v/>
      </c>
      <c r="G41" s="49" t="str">
        <f aca="false">IF($A41="","",IFERROR(INDEX('ISV Inventory'!$R$6:$R$255,MATCH(SMALL('ISV Inventory'!$AU$6:$AU$255,$A41),'ISV Inventory'!$AU$6:$AU$255,0)),""))</f>
        <v/>
      </c>
      <c r="H41" s="13" t="str">
        <f aca="false">IF($A41="","",IFERROR(INDEX('ISV Inventory'!$X$6:$X$255,MATCH(SMALL('ISV Inventory'!$AU$6:$AU$255,$A41),'ISV Inventory'!$AU$6:$AU$255,0))&amp;"",""))</f>
        <v/>
      </c>
      <c r="I41" s="47" t="str">
        <f aca="false">IF($A41="","",IFERROR(INDEX('ISV Inventory'!$Z$6:$Z$255,MATCH(SMALL('ISV Inventory'!$AU$6:$AU$255,$A41),'ISV Inventory'!$AU$6:$AU$255,0)),""))</f>
        <v/>
      </c>
      <c r="J41" s="13" t="str">
        <f aca="false">IF($A41="","",IFERROR(INDEX('ISV Inventory'!$AG$6:$AG$255,MATCH(SMALL('ISV Inventory'!$AU$6:$AU$255,$A41),'ISV Inventory'!$AU$6:$AU$255,0))&amp;"",""))</f>
        <v/>
      </c>
      <c r="K41" s="13" t="str">
        <f aca="false">IF($A41="","",IFERROR(INDEX('ISV Inventory'!$AK$6:$AK$255,MATCH(SMALL('ISV Inventory'!$AU$6:$AU$255,$A41),'ISV Inventory'!$AU$6:$AU$255,0))&amp;"",""))</f>
        <v/>
      </c>
      <c r="L41" s="13" t="str">
        <f aca="false">IF($A41="","",IFERROR(INDEX('ISV Inventory'!$AR$6:$AR$255,MATCH(SMALL('ISV Inventory'!$AU$6:$AU$255,$A41),'ISV Inventory'!$AU$6:$AU$255,0))&amp;"",""))</f>
        <v/>
      </c>
      <c r="M41" s="13" t="str">
        <f aca="false">IF($A41="","",IFERROR(INDEX('ISV Inventory'!$AS$6:$AS$255,MATCH(SMALL('ISV Inventory'!$AU$6:$AU$255,$A41),'ISV Inventory'!$AU$6:$AU$255,0))&amp;"",""))</f>
        <v/>
      </c>
    </row>
    <row r="42" customFormat="false" ht="15" hidden="false" customHeight="false" outlineLevel="0" collapsed="false">
      <c r="A42" s="13" t="str">
        <f aca="false">IF(COUNT('ISV Inventory'!$AU$6:$AU$255)&lt;38,"",38)</f>
        <v/>
      </c>
      <c r="B42" s="47" t="str">
        <f aca="false">IF($A42="","",IFERROR(INDEX('ISV Inventory'!$V$6:$V$255,MATCH(SMALL('ISV Inventory'!$AU$6:$AU$255,$A42),'ISV Inventory'!$AU$6:$AU$255,0)),""))</f>
        <v/>
      </c>
      <c r="C42" s="48" t="str">
        <f aca="false">IF($A42="","",IFERROR(INDEX('ISV Inventory'!$AA$6:$AA$255,MATCH(SMALL('ISV Inventory'!$AU$6:$AU$255,$A42),'ISV Inventory'!$AU$6:$AU$255,0)),""))</f>
        <v/>
      </c>
      <c r="D42" s="13" t="str">
        <f aca="false">IF($A42="","",IFERROR(INDEX('ISV Inventory'!$AB$6:$AB$255,MATCH(SMALL('ISV Inventory'!$AU$6:$AU$255,$A42),'ISV Inventory'!$AU$6:$AU$255,0))&amp;"",""))</f>
        <v/>
      </c>
      <c r="E42" s="13" t="str">
        <f aca="false">IF($A42="","",IFERROR(INDEX('ISV Inventory'!$B$6:$B$255,MATCH(SMALL('ISV Inventory'!$AU$6:$AU$255,$A42),'ISV Inventory'!$AU$6:$AU$255,0))&amp;"",""))</f>
        <v/>
      </c>
      <c r="F42" s="13" t="str">
        <f aca="false">IF($A42="","",IFERROR(INDEX('ISV Inventory'!$F$6:$F$255,MATCH(SMALL('ISV Inventory'!$AU$6:$AU$255,$A42),'ISV Inventory'!$AU$6:$AU$255,0))&amp;"",""))</f>
        <v/>
      </c>
      <c r="G42" s="49" t="str">
        <f aca="false">IF($A42="","",IFERROR(INDEX('ISV Inventory'!$R$6:$R$255,MATCH(SMALL('ISV Inventory'!$AU$6:$AU$255,$A42),'ISV Inventory'!$AU$6:$AU$255,0)),""))</f>
        <v/>
      </c>
      <c r="H42" s="13" t="str">
        <f aca="false">IF($A42="","",IFERROR(INDEX('ISV Inventory'!$X$6:$X$255,MATCH(SMALL('ISV Inventory'!$AU$6:$AU$255,$A42),'ISV Inventory'!$AU$6:$AU$255,0))&amp;"",""))</f>
        <v/>
      </c>
      <c r="I42" s="47" t="str">
        <f aca="false">IF($A42="","",IFERROR(INDEX('ISV Inventory'!$Z$6:$Z$255,MATCH(SMALL('ISV Inventory'!$AU$6:$AU$255,$A42),'ISV Inventory'!$AU$6:$AU$255,0)),""))</f>
        <v/>
      </c>
      <c r="J42" s="13" t="str">
        <f aca="false">IF($A42="","",IFERROR(INDEX('ISV Inventory'!$AG$6:$AG$255,MATCH(SMALL('ISV Inventory'!$AU$6:$AU$255,$A42),'ISV Inventory'!$AU$6:$AU$255,0))&amp;"",""))</f>
        <v/>
      </c>
      <c r="K42" s="13" t="str">
        <f aca="false">IF($A42="","",IFERROR(INDEX('ISV Inventory'!$AK$6:$AK$255,MATCH(SMALL('ISV Inventory'!$AU$6:$AU$255,$A42),'ISV Inventory'!$AU$6:$AU$255,0))&amp;"",""))</f>
        <v/>
      </c>
      <c r="L42" s="13" t="str">
        <f aca="false">IF($A42="","",IFERROR(INDEX('ISV Inventory'!$AR$6:$AR$255,MATCH(SMALL('ISV Inventory'!$AU$6:$AU$255,$A42),'ISV Inventory'!$AU$6:$AU$255,0))&amp;"",""))</f>
        <v/>
      </c>
      <c r="M42" s="13" t="str">
        <f aca="false">IF($A42="","",IFERROR(INDEX('ISV Inventory'!$AS$6:$AS$255,MATCH(SMALL('ISV Inventory'!$AU$6:$AU$255,$A42),'ISV Inventory'!$AU$6:$AU$255,0))&amp;"",""))</f>
        <v/>
      </c>
    </row>
    <row r="43" customFormat="false" ht="15" hidden="false" customHeight="false" outlineLevel="0" collapsed="false">
      <c r="A43" s="13" t="str">
        <f aca="false">IF(COUNT('ISV Inventory'!$AU$6:$AU$255)&lt;39,"",39)</f>
        <v/>
      </c>
      <c r="B43" s="47" t="str">
        <f aca="false">IF($A43="","",IFERROR(INDEX('ISV Inventory'!$V$6:$V$255,MATCH(SMALL('ISV Inventory'!$AU$6:$AU$255,$A43),'ISV Inventory'!$AU$6:$AU$255,0)),""))</f>
        <v/>
      </c>
      <c r="C43" s="48" t="str">
        <f aca="false">IF($A43="","",IFERROR(INDEX('ISV Inventory'!$AA$6:$AA$255,MATCH(SMALL('ISV Inventory'!$AU$6:$AU$255,$A43),'ISV Inventory'!$AU$6:$AU$255,0)),""))</f>
        <v/>
      </c>
      <c r="D43" s="13" t="str">
        <f aca="false">IF($A43="","",IFERROR(INDEX('ISV Inventory'!$AB$6:$AB$255,MATCH(SMALL('ISV Inventory'!$AU$6:$AU$255,$A43),'ISV Inventory'!$AU$6:$AU$255,0))&amp;"",""))</f>
        <v/>
      </c>
      <c r="E43" s="13" t="str">
        <f aca="false">IF($A43="","",IFERROR(INDEX('ISV Inventory'!$B$6:$B$255,MATCH(SMALL('ISV Inventory'!$AU$6:$AU$255,$A43),'ISV Inventory'!$AU$6:$AU$255,0))&amp;"",""))</f>
        <v/>
      </c>
      <c r="F43" s="13" t="str">
        <f aca="false">IF($A43="","",IFERROR(INDEX('ISV Inventory'!$F$6:$F$255,MATCH(SMALL('ISV Inventory'!$AU$6:$AU$255,$A43),'ISV Inventory'!$AU$6:$AU$255,0))&amp;"",""))</f>
        <v/>
      </c>
      <c r="G43" s="49" t="str">
        <f aca="false">IF($A43="","",IFERROR(INDEX('ISV Inventory'!$R$6:$R$255,MATCH(SMALL('ISV Inventory'!$AU$6:$AU$255,$A43),'ISV Inventory'!$AU$6:$AU$255,0)),""))</f>
        <v/>
      </c>
      <c r="H43" s="13" t="str">
        <f aca="false">IF($A43="","",IFERROR(INDEX('ISV Inventory'!$X$6:$X$255,MATCH(SMALL('ISV Inventory'!$AU$6:$AU$255,$A43),'ISV Inventory'!$AU$6:$AU$255,0))&amp;"",""))</f>
        <v/>
      </c>
      <c r="I43" s="47" t="str">
        <f aca="false">IF($A43="","",IFERROR(INDEX('ISV Inventory'!$Z$6:$Z$255,MATCH(SMALL('ISV Inventory'!$AU$6:$AU$255,$A43),'ISV Inventory'!$AU$6:$AU$255,0)),""))</f>
        <v/>
      </c>
      <c r="J43" s="13" t="str">
        <f aca="false">IF($A43="","",IFERROR(INDEX('ISV Inventory'!$AG$6:$AG$255,MATCH(SMALL('ISV Inventory'!$AU$6:$AU$255,$A43),'ISV Inventory'!$AU$6:$AU$255,0))&amp;"",""))</f>
        <v/>
      </c>
      <c r="K43" s="13" t="str">
        <f aca="false">IF($A43="","",IFERROR(INDEX('ISV Inventory'!$AK$6:$AK$255,MATCH(SMALL('ISV Inventory'!$AU$6:$AU$255,$A43),'ISV Inventory'!$AU$6:$AU$255,0))&amp;"",""))</f>
        <v/>
      </c>
      <c r="L43" s="13" t="str">
        <f aca="false">IF($A43="","",IFERROR(INDEX('ISV Inventory'!$AR$6:$AR$255,MATCH(SMALL('ISV Inventory'!$AU$6:$AU$255,$A43),'ISV Inventory'!$AU$6:$AU$255,0))&amp;"",""))</f>
        <v/>
      </c>
      <c r="M43" s="13" t="str">
        <f aca="false">IF($A43="","",IFERROR(INDEX('ISV Inventory'!$AS$6:$AS$255,MATCH(SMALL('ISV Inventory'!$AU$6:$AU$255,$A43),'ISV Inventory'!$AU$6:$AU$255,0))&amp;"",""))</f>
        <v/>
      </c>
    </row>
    <row r="44" customFormat="false" ht="15" hidden="false" customHeight="false" outlineLevel="0" collapsed="false">
      <c r="A44" s="13" t="str">
        <f aca="false">IF(COUNT('ISV Inventory'!$AU$6:$AU$255)&lt;40,"",40)</f>
        <v/>
      </c>
      <c r="B44" s="47" t="str">
        <f aca="false">IF($A44="","",IFERROR(INDEX('ISV Inventory'!$V$6:$V$255,MATCH(SMALL('ISV Inventory'!$AU$6:$AU$255,$A44),'ISV Inventory'!$AU$6:$AU$255,0)),""))</f>
        <v/>
      </c>
      <c r="C44" s="48" t="str">
        <f aca="false">IF($A44="","",IFERROR(INDEX('ISV Inventory'!$AA$6:$AA$255,MATCH(SMALL('ISV Inventory'!$AU$6:$AU$255,$A44),'ISV Inventory'!$AU$6:$AU$255,0)),""))</f>
        <v/>
      </c>
      <c r="D44" s="13" t="str">
        <f aca="false">IF($A44="","",IFERROR(INDEX('ISV Inventory'!$AB$6:$AB$255,MATCH(SMALL('ISV Inventory'!$AU$6:$AU$255,$A44),'ISV Inventory'!$AU$6:$AU$255,0))&amp;"",""))</f>
        <v/>
      </c>
      <c r="E44" s="13" t="str">
        <f aca="false">IF($A44="","",IFERROR(INDEX('ISV Inventory'!$B$6:$B$255,MATCH(SMALL('ISV Inventory'!$AU$6:$AU$255,$A44),'ISV Inventory'!$AU$6:$AU$255,0))&amp;"",""))</f>
        <v/>
      </c>
      <c r="F44" s="13" t="str">
        <f aca="false">IF($A44="","",IFERROR(INDEX('ISV Inventory'!$F$6:$F$255,MATCH(SMALL('ISV Inventory'!$AU$6:$AU$255,$A44),'ISV Inventory'!$AU$6:$AU$255,0))&amp;"",""))</f>
        <v/>
      </c>
      <c r="G44" s="49" t="str">
        <f aca="false">IF($A44="","",IFERROR(INDEX('ISV Inventory'!$R$6:$R$255,MATCH(SMALL('ISV Inventory'!$AU$6:$AU$255,$A44),'ISV Inventory'!$AU$6:$AU$255,0)),""))</f>
        <v/>
      </c>
      <c r="H44" s="13" t="str">
        <f aca="false">IF($A44="","",IFERROR(INDEX('ISV Inventory'!$X$6:$X$255,MATCH(SMALL('ISV Inventory'!$AU$6:$AU$255,$A44),'ISV Inventory'!$AU$6:$AU$255,0))&amp;"",""))</f>
        <v/>
      </c>
      <c r="I44" s="47" t="str">
        <f aca="false">IF($A44="","",IFERROR(INDEX('ISV Inventory'!$Z$6:$Z$255,MATCH(SMALL('ISV Inventory'!$AU$6:$AU$255,$A44),'ISV Inventory'!$AU$6:$AU$255,0)),""))</f>
        <v/>
      </c>
      <c r="J44" s="13" t="str">
        <f aca="false">IF($A44="","",IFERROR(INDEX('ISV Inventory'!$AG$6:$AG$255,MATCH(SMALL('ISV Inventory'!$AU$6:$AU$255,$A44),'ISV Inventory'!$AU$6:$AU$255,0))&amp;"",""))</f>
        <v/>
      </c>
      <c r="K44" s="13" t="str">
        <f aca="false">IF($A44="","",IFERROR(INDEX('ISV Inventory'!$AK$6:$AK$255,MATCH(SMALL('ISV Inventory'!$AU$6:$AU$255,$A44),'ISV Inventory'!$AU$6:$AU$255,0))&amp;"",""))</f>
        <v/>
      </c>
      <c r="L44" s="13" t="str">
        <f aca="false">IF($A44="","",IFERROR(INDEX('ISV Inventory'!$AR$6:$AR$255,MATCH(SMALL('ISV Inventory'!$AU$6:$AU$255,$A44),'ISV Inventory'!$AU$6:$AU$255,0))&amp;"",""))</f>
        <v/>
      </c>
      <c r="M44" s="13" t="str">
        <f aca="false">IF($A44="","",IFERROR(INDEX('ISV Inventory'!$AS$6:$AS$255,MATCH(SMALL('ISV Inventory'!$AU$6:$AU$255,$A44),'ISV Inventory'!$AU$6:$AU$255,0))&amp;"",""))</f>
        <v/>
      </c>
    </row>
    <row r="45" customFormat="false" ht="15" hidden="false" customHeight="false" outlineLevel="0" collapsed="false">
      <c r="A45" s="13" t="str">
        <f aca="false">IF(COUNT('ISV Inventory'!$AU$6:$AU$255)&lt;41,"",41)</f>
        <v/>
      </c>
      <c r="B45" s="47" t="str">
        <f aca="false">IF($A45="","",IFERROR(INDEX('ISV Inventory'!$V$6:$V$255,MATCH(SMALL('ISV Inventory'!$AU$6:$AU$255,$A45),'ISV Inventory'!$AU$6:$AU$255,0)),""))</f>
        <v/>
      </c>
      <c r="C45" s="48" t="str">
        <f aca="false">IF($A45="","",IFERROR(INDEX('ISV Inventory'!$AA$6:$AA$255,MATCH(SMALL('ISV Inventory'!$AU$6:$AU$255,$A45),'ISV Inventory'!$AU$6:$AU$255,0)),""))</f>
        <v/>
      </c>
      <c r="D45" s="13" t="str">
        <f aca="false">IF($A45="","",IFERROR(INDEX('ISV Inventory'!$AB$6:$AB$255,MATCH(SMALL('ISV Inventory'!$AU$6:$AU$255,$A45),'ISV Inventory'!$AU$6:$AU$255,0))&amp;"",""))</f>
        <v/>
      </c>
      <c r="E45" s="13" t="str">
        <f aca="false">IF($A45="","",IFERROR(INDEX('ISV Inventory'!$B$6:$B$255,MATCH(SMALL('ISV Inventory'!$AU$6:$AU$255,$A45),'ISV Inventory'!$AU$6:$AU$255,0))&amp;"",""))</f>
        <v/>
      </c>
      <c r="F45" s="13" t="str">
        <f aca="false">IF($A45="","",IFERROR(INDEX('ISV Inventory'!$F$6:$F$255,MATCH(SMALL('ISV Inventory'!$AU$6:$AU$255,$A45),'ISV Inventory'!$AU$6:$AU$255,0))&amp;"",""))</f>
        <v/>
      </c>
      <c r="G45" s="49" t="str">
        <f aca="false">IF($A45="","",IFERROR(INDEX('ISV Inventory'!$R$6:$R$255,MATCH(SMALL('ISV Inventory'!$AU$6:$AU$255,$A45),'ISV Inventory'!$AU$6:$AU$255,0)),""))</f>
        <v/>
      </c>
      <c r="H45" s="13" t="str">
        <f aca="false">IF($A45="","",IFERROR(INDEX('ISV Inventory'!$X$6:$X$255,MATCH(SMALL('ISV Inventory'!$AU$6:$AU$255,$A45),'ISV Inventory'!$AU$6:$AU$255,0))&amp;"",""))</f>
        <v/>
      </c>
      <c r="I45" s="47" t="str">
        <f aca="false">IF($A45="","",IFERROR(INDEX('ISV Inventory'!$Z$6:$Z$255,MATCH(SMALL('ISV Inventory'!$AU$6:$AU$255,$A45),'ISV Inventory'!$AU$6:$AU$255,0)),""))</f>
        <v/>
      </c>
      <c r="J45" s="13" t="str">
        <f aca="false">IF($A45="","",IFERROR(INDEX('ISV Inventory'!$AG$6:$AG$255,MATCH(SMALL('ISV Inventory'!$AU$6:$AU$255,$A45),'ISV Inventory'!$AU$6:$AU$255,0))&amp;"",""))</f>
        <v/>
      </c>
      <c r="K45" s="13" t="str">
        <f aca="false">IF($A45="","",IFERROR(INDEX('ISV Inventory'!$AK$6:$AK$255,MATCH(SMALL('ISV Inventory'!$AU$6:$AU$255,$A45),'ISV Inventory'!$AU$6:$AU$255,0))&amp;"",""))</f>
        <v/>
      </c>
      <c r="L45" s="13" t="str">
        <f aca="false">IF($A45="","",IFERROR(INDEX('ISV Inventory'!$AR$6:$AR$255,MATCH(SMALL('ISV Inventory'!$AU$6:$AU$255,$A45),'ISV Inventory'!$AU$6:$AU$255,0))&amp;"",""))</f>
        <v/>
      </c>
      <c r="M45" s="13" t="str">
        <f aca="false">IF($A45="","",IFERROR(INDEX('ISV Inventory'!$AS$6:$AS$255,MATCH(SMALL('ISV Inventory'!$AU$6:$AU$255,$A45),'ISV Inventory'!$AU$6:$AU$255,0))&amp;"",""))</f>
        <v/>
      </c>
    </row>
    <row r="46" customFormat="false" ht="15" hidden="false" customHeight="false" outlineLevel="0" collapsed="false">
      <c r="A46" s="13" t="str">
        <f aca="false">IF(COUNT('ISV Inventory'!$AU$6:$AU$255)&lt;42,"",42)</f>
        <v/>
      </c>
      <c r="B46" s="47" t="str">
        <f aca="false">IF($A46="","",IFERROR(INDEX('ISV Inventory'!$V$6:$V$255,MATCH(SMALL('ISV Inventory'!$AU$6:$AU$255,$A46),'ISV Inventory'!$AU$6:$AU$255,0)),""))</f>
        <v/>
      </c>
      <c r="C46" s="48" t="str">
        <f aca="false">IF($A46="","",IFERROR(INDEX('ISV Inventory'!$AA$6:$AA$255,MATCH(SMALL('ISV Inventory'!$AU$6:$AU$255,$A46),'ISV Inventory'!$AU$6:$AU$255,0)),""))</f>
        <v/>
      </c>
      <c r="D46" s="13" t="str">
        <f aca="false">IF($A46="","",IFERROR(INDEX('ISV Inventory'!$AB$6:$AB$255,MATCH(SMALL('ISV Inventory'!$AU$6:$AU$255,$A46),'ISV Inventory'!$AU$6:$AU$255,0))&amp;"",""))</f>
        <v/>
      </c>
      <c r="E46" s="13" t="str">
        <f aca="false">IF($A46="","",IFERROR(INDEX('ISV Inventory'!$B$6:$B$255,MATCH(SMALL('ISV Inventory'!$AU$6:$AU$255,$A46),'ISV Inventory'!$AU$6:$AU$255,0))&amp;"",""))</f>
        <v/>
      </c>
      <c r="F46" s="13" t="str">
        <f aca="false">IF($A46="","",IFERROR(INDEX('ISV Inventory'!$F$6:$F$255,MATCH(SMALL('ISV Inventory'!$AU$6:$AU$255,$A46),'ISV Inventory'!$AU$6:$AU$255,0))&amp;"",""))</f>
        <v/>
      </c>
      <c r="G46" s="49" t="str">
        <f aca="false">IF($A46="","",IFERROR(INDEX('ISV Inventory'!$R$6:$R$255,MATCH(SMALL('ISV Inventory'!$AU$6:$AU$255,$A46),'ISV Inventory'!$AU$6:$AU$255,0)),""))</f>
        <v/>
      </c>
      <c r="H46" s="13" t="str">
        <f aca="false">IF($A46="","",IFERROR(INDEX('ISV Inventory'!$X$6:$X$255,MATCH(SMALL('ISV Inventory'!$AU$6:$AU$255,$A46),'ISV Inventory'!$AU$6:$AU$255,0))&amp;"",""))</f>
        <v/>
      </c>
      <c r="I46" s="47" t="str">
        <f aca="false">IF($A46="","",IFERROR(INDEX('ISV Inventory'!$Z$6:$Z$255,MATCH(SMALL('ISV Inventory'!$AU$6:$AU$255,$A46),'ISV Inventory'!$AU$6:$AU$255,0)),""))</f>
        <v/>
      </c>
      <c r="J46" s="13" t="str">
        <f aca="false">IF($A46="","",IFERROR(INDEX('ISV Inventory'!$AG$6:$AG$255,MATCH(SMALL('ISV Inventory'!$AU$6:$AU$255,$A46),'ISV Inventory'!$AU$6:$AU$255,0))&amp;"",""))</f>
        <v/>
      </c>
      <c r="K46" s="13" t="str">
        <f aca="false">IF($A46="","",IFERROR(INDEX('ISV Inventory'!$AK$6:$AK$255,MATCH(SMALL('ISV Inventory'!$AU$6:$AU$255,$A46),'ISV Inventory'!$AU$6:$AU$255,0))&amp;"",""))</f>
        <v/>
      </c>
      <c r="L46" s="13" t="str">
        <f aca="false">IF($A46="","",IFERROR(INDEX('ISV Inventory'!$AR$6:$AR$255,MATCH(SMALL('ISV Inventory'!$AU$6:$AU$255,$A46),'ISV Inventory'!$AU$6:$AU$255,0))&amp;"",""))</f>
        <v/>
      </c>
      <c r="M46" s="13" t="str">
        <f aca="false">IF($A46="","",IFERROR(INDEX('ISV Inventory'!$AS$6:$AS$255,MATCH(SMALL('ISV Inventory'!$AU$6:$AU$255,$A46),'ISV Inventory'!$AU$6:$AU$255,0))&amp;"",""))</f>
        <v/>
      </c>
    </row>
    <row r="47" customFormat="false" ht="15" hidden="false" customHeight="false" outlineLevel="0" collapsed="false">
      <c r="A47" s="13" t="str">
        <f aca="false">IF(COUNT('ISV Inventory'!$AU$6:$AU$255)&lt;43,"",43)</f>
        <v/>
      </c>
      <c r="B47" s="47" t="str">
        <f aca="false">IF($A47="","",IFERROR(INDEX('ISV Inventory'!$V$6:$V$255,MATCH(SMALL('ISV Inventory'!$AU$6:$AU$255,$A47),'ISV Inventory'!$AU$6:$AU$255,0)),""))</f>
        <v/>
      </c>
      <c r="C47" s="48" t="str">
        <f aca="false">IF($A47="","",IFERROR(INDEX('ISV Inventory'!$AA$6:$AA$255,MATCH(SMALL('ISV Inventory'!$AU$6:$AU$255,$A47),'ISV Inventory'!$AU$6:$AU$255,0)),""))</f>
        <v/>
      </c>
      <c r="D47" s="13" t="str">
        <f aca="false">IF($A47="","",IFERROR(INDEX('ISV Inventory'!$AB$6:$AB$255,MATCH(SMALL('ISV Inventory'!$AU$6:$AU$255,$A47),'ISV Inventory'!$AU$6:$AU$255,0))&amp;"",""))</f>
        <v/>
      </c>
      <c r="E47" s="13" t="str">
        <f aca="false">IF($A47="","",IFERROR(INDEX('ISV Inventory'!$B$6:$B$255,MATCH(SMALL('ISV Inventory'!$AU$6:$AU$255,$A47),'ISV Inventory'!$AU$6:$AU$255,0))&amp;"",""))</f>
        <v/>
      </c>
      <c r="F47" s="13" t="str">
        <f aca="false">IF($A47="","",IFERROR(INDEX('ISV Inventory'!$F$6:$F$255,MATCH(SMALL('ISV Inventory'!$AU$6:$AU$255,$A47),'ISV Inventory'!$AU$6:$AU$255,0))&amp;"",""))</f>
        <v/>
      </c>
      <c r="G47" s="49" t="str">
        <f aca="false">IF($A47="","",IFERROR(INDEX('ISV Inventory'!$R$6:$R$255,MATCH(SMALL('ISV Inventory'!$AU$6:$AU$255,$A47),'ISV Inventory'!$AU$6:$AU$255,0)),""))</f>
        <v/>
      </c>
      <c r="H47" s="13" t="str">
        <f aca="false">IF($A47="","",IFERROR(INDEX('ISV Inventory'!$X$6:$X$255,MATCH(SMALL('ISV Inventory'!$AU$6:$AU$255,$A47),'ISV Inventory'!$AU$6:$AU$255,0))&amp;"",""))</f>
        <v/>
      </c>
      <c r="I47" s="47" t="str">
        <f aca="false">IF($A47="","",IFERROR(INDEX('ISV Inventory'!$Z$6:$Z$255,MATCH(SMALL('ISV Inventory'!$AU$6:$AU$255,$A47),'ISV Inventory'!$AU$6:$AU$255,0)),""))</f>
        <v/>
      </c>
      <c r="J47" s="13" t="str">
        <f aca="false">IF($A47="","",IFERROR(INDEX('ISV Inventory'!$AG$6:$AG$255,MATCH(SMALL('ISV Inventory'!$AU$6:$AU$255,$A47),'ISV Inventory'!$AU$6:$AU$255,0))&amp;"",""))</f>
        <v/>
      </c>
      <c r="K47" s="13" t="str">
        <f aca="false">IF($A47="","",IFERROR(INDEX('ISV Inventory'!$AK$6:$AK$255,MATCH(SMALL('ISV Inventory'!$AU$6:$AU$255,$A47),'ISV Inventory'!$AU$6:$AU$255,0))&amp;"",""))</f>
        <v/>
      </c>
      <c r="L47" s="13" t="str">
        <f aca="false">IF($A47="","",IFERROR(INDEX('ISV Inventory'!$AR$6:$AR$255,MATCH(SMALL('ISV Inventory'!$AU$6:$AU$255,$A47),'ISV Inventory'!$AU$6:$AU$255,0))&amp;"",""))</f>
        <v/>
      </c>
      <c r="M47" s="13" t="str">
        <f aca="false">IF($A47="","",IFERROR(INDEX('ISV Inventory'!$AS$6:$AS$255,MATCH(SMALL('ISV Inventory'!$AU$6:$AU$255,$A47),'ISV Inventory'!$AU$6:$AU$255,0))&amp;"",""))</f>
        <v/>
      </c>
    </row>
    <row r="48" customFormat="false" ht="15" hidden="false" customHeight="false" outlineLevel="0" collapsed="false">
      <c r="A48" s="13" t="str">
        <f aca="false">IF(COUNT('ISV Inventory'!$AU$6:$AU$255)&lt;44,"",44)</f>
        <v/>
      </c>
      <c r="B48" s="47" t="str">
        <f aca="false">IF($A48="","",IFERROR(INDEX('ISV Inventory'!$V$6:$V$255,MATCH(SMALL('ISV Inventory'!$AU$6:$AU$255,$A48),'ISV Inventory'!$AU$6:$AU$255,0)),""))</f>
        <v/>
      </c>
      <c r="C48" s="48" t="str">
        <f aca="false">IF($A48="","",IFERROR(INDEX('ISV Inventory'!$AA$6:$AA$255,MATCH(SMALL('ISV Inventory'!$AU$6:$AU$255,$A48),'ISV Inventory'!$AU$6:$AU$255,0)),""))</f>
        <v/>
      </c>
      <c r="D48" s="13" t="str">
        <f aca="false">IF($A48="","",IFERROR(INDEX('ISV Inventory'!$AB$6:$AB$255,MATCH(SMALL('ISV Inventory'!$AU$6:$AU$255,$A48),'ISV Inventory'!$AU$6:$AU$255,0))&amp;"",""))</f>
        <v/>
      </c>
      <c r="E48" s="13" t="str">
        <f aca="false">IF($A48="","",IFERROR(INDEX('ISV Inventory'!$B$6:$B$255,MATCH(SMALL('ISV Inventory'!$AU$6:$AU$255,$A48),'ISV Inventory'!$AU$6:$AU$255,0))&amp;"",""))</f>
        <v/>
      </c>
      <c r="F48" s="13" t="str">
        <f aca="false">IF($A48="","",IFERROR(INDEX('ISV Inventory'!$F$6:$F$255,MATCH(SMALL('ISV Inventory'!$AU$6:$AU$255,$A48),'ISV Inventory'!$AU$6:$AU$255,0))&amp;"",""))</f>
        <v/>
      </c>
      <c r="G48" s="49" t="str">
        <f aca="false">IF($A48="","",IFERROR(INDEX('ISV Inventory'!$R$6:$R$255,MATCH(SMALL('ISV Inventory'!$AU$6:$AU$255,$A48),'ISV Inventory'!$AU$6:$AU$255,0)),""))</f>
        <v/>
      </c>
      <c r="H48" s="13" t="str">
        <f aca="false">IF($A48="","",IFERROR(INDEX('ISV Inventory'!$X$6:$X$255,MATCH(SMALL('ISV Inventory'!$AU$6:$AU$255,$A48),'ISV Inventory'!$AU$6:$AU$255,0))&amp;"",""))</f>
        <v/>
      </c>
      <c r="I48" s="47" t="str">
        <f aca="false">IF($A48="","",IFERROR(INDEX('ISV Inventory'!$Z$6:$Z$255,MATCH(SMALL('ISV Inventory'!$AU$6:$AU$255,$A48),'ISV Inventory'!$AU$6:$AU$255,0)),""))</f>
        <v/>
      </c>
      <c r="J48" s="13" t="str">
        <f aca="false">IF($A48="","",IFERROR(INDEX('ISV Inventory'!$AG$6:$AG$255,MATCH(SMALL('ISV Inventory'!$AU$6:$AU$255,$A48),'ISV Inventory'!$AU$6:$AU$255,0))&amp;"",""))</f>
        <v/>
      </c>
      <c r="K48" s="13" t="str">
        <f aca="false">IF($A48="","",IFERROR(INDEX('ISV Inventory'!$AK$6:$AK$255,MATCH(SMALL('ISV Inventory'!$AU$6:$AU$255,$A48),'ISV Inventory'!$AU$6:$AU$255,0))&amp;"",""))</f>
        <v/>
      </c>
      <c r="L48" s="13" t="str">
        <f aca="false">IF($A48="","",IFERROR(INDEX('ISV Inventory'!$AR$6:$AR$255,MATCH(SMALL('ISV Inventory'!$AU$6:$AU$255,$A48),'ISV Inventory'!$AU$6:$AU$255,0))&amp;"",""))</f>
        <v/>
      </c>
      <c r="M48" s="13" t="str">
        <f aca="false">IF($A48="","",IFERROR(INDEX('ISV Inventory'!$AS$6:$AS$255,MATCH(SMALL('ISV Inventory'!$AU$6:$AU$255,$A48),'ISV Inventory'!$AU$6:$AU$255,0))&amp;"",""))</f>
        <v/>
      </c>
    </row>
    <row r="49" customFormat="false" ht="15" hidden="false" customHeight="false" outlineLevel="0" collapsed="false">
      <c r="A49" s="13" t="str">
        <f aca="false">IF(COUNT('ISV Inventory'!$AU$6:$AU$255)&lt;45,"",45)</f>
        <v/>
      </c>
      <c r="B49" s="47" t="str">
        <f aca="false">IF($A49="","",IFERROR(INDEX('ISV Inventory'!$V$6:$V$255,MATCH(SMALL('ISV Inventory'!$AU$6:$AU$255,$A49),'ISV Inventory'!$AU$6:$AU$255,0)),""))</f>
        <v/>
      </c>
      <c r="C49" s="48" t="str">
        <f aca="false">IF($A49="","",IFERROR(INDEX('ISV Inventory'!$AA$6:$AA$255,MATCH(SMALL('ISV Inventory'!$AU$6:$AU$255,$A49),'ISV Inventory'!$AU$6:$AU$255,0)),""))</f>
        <v/>
      </c>
      <c r="D49" s="13" t="str">
        <f aca="false">IF($A49="","",IFERROR(INDEX('ISV Inventory'!$AB$6:$AB$255,MATCH(SMALL('ISV Inventory'!$AU$6:$AU$255,$A49),'ISV Inventory'!$AU$6:$AU$255,0))&amp;"",""))</f>
        <v/>
      </c>
      <c r="E49" s="13" t="str">
        <f aca="false">IF($A49="","",IFERROR(INDEX('ISV Inventory'!$B$6:$B$255,MATCH(SMALL('ISV Inventory'!$AU$6:$AU$255,$A49),'ISV Inventory'!$AU$6:$AU$255,0))&amp;"",""))</f>
        <v/>
      </c>
      <c r="F49" s="13" t="str">
        <f aca="false">IF($A49="","",IFERROR(INDEX('ISV Inventory'!$F$6:$F$255,MATCH(SMALL('ISV Inventory'!$AU$6:$AU$255,$A49),'ISV Inventory'!$AU$6:$AU$255,0))&amp;"",""))</f>
        <v/>
      </c>
      <c r="G49" s="49" t="str">
        <f aca="false">IF($A49="","",IFERROR(INDEX('ISV Inventory'!$R$6:$R$255,MATCH(SMALL('ISV Inventory'!$AU$6:$AU$255,$A49),'ISV Inventory'!$AU$6:$AU$255,0)),""))</f>
        <v/>
      </c>
      <c r="H49" s="13" t="str">
        <f aca="false">IF($A49="","",IFERROR(INDEX('ISV Inventory'!$X$6:$X$255,MATCH(SMALL('ISV Inventory'!$AU$6:$AU$255,$A49),'ISV Inventory'!$AU$6:$AU$255,0))&amp;"",""))</f>
        <v/>
      </c>
      <c r="I49" s="47" t="str">
        <f aca="false">IF($A49="","",IFERROR(INDEX('ISV Inventory'!$Z$6:$Z$255,MATCH(SMALL('ISV Inventory'!$AU$6:$AU$255,$A49),'ISV Inventory'!$AU$6:$AU$255,0)),""))</f>
        <v/>
      </c>
      <c r="J49" s="13" t="str">
        <f aca="false">IF($A49="","",IFERROR(INDEX('ISV Inventory'!$AG$6:$AG$255,MATCH(SMALL('ISV Inventory'!$AU$6:$AU$255,$A49),'ISV Inventory'!$AU$6:$AU$255,0))&amp;"",""))</f>
        <v/>
      </c>
      <c r="K49" s="13" t="str">
        <f aca="false">IF($A49="","",IFERROR(INDEX('ISV Inventory'!$AK$6:$AK$255,MATCH(SMALL('ISV Inventory'!$AU$6:$AU$255,$A49),'ISV Inventory'!$AU$6:$AU$255,0))&amp;"",""))</f>
        <v/>
      </c>
      <c r="L49" s="13" t="str">
        <f aca="false">IF($A49="","",IFERROR(INDEX('ISV Inventory'!$AR$6:$AR$255,MATCH(SMALL('ISV Inventory'!$AU$6:$AU$255,$A49),'ISV Inventory'!$AU$6:$AU$255,0))&amp;"",""))</f>
        <v/>
      </c>
      <c r="M49" s="13" t="str">
        <f aca="false">IF($A49="","",IFERROR(INDEX('ISV Inventory'!$AS$6:$AS$255,MATCH(SMALL('ISV Inventory'!$AU$6:$AU$255,$A49),'ISV Inventory'!$AU$6:$AU$255,0))&amp;"",""))</f>
        <v/>
      </c>
    </row>
    <row r="50" customFormat="false" ht="15" hidden="false" customHeight="false" outlineLevel="0" collapsed="false">
      <c r="A50" s="13" t="str">
        <f aca="false">IF(COUNT('ISV Inventory'!$AU$6:$AU$255)&lt;46,"",46)</f>
        <v/>
      </c>
      <c r="B50" s="47" t="str">
        <f aca="false">IF($A50="","",IFERROR(INDEX('ISV Inventory'!$V$6:$V$255,MATCH(SMALL('ISV Inventory'!$AU$6:$AU$255,$A50),'ISV Inventory'!$AU$6:$AU$255,0)),""))</f>
        <v/>
      </c>
      <c r="C50" s="48" t="str">
        <f aca="false">IF($A50="","",IFERROR(INDEX('ISV Inventory'!$AA$6:$AA$255,MATCH(SMALL('ISV Inventory'!$AU$6:$AU$255,$A50),'ISV Inventory'!$AU$6:$AU$255,0)),""))</f>
        <v/>
      </c>
      <c r="D50" s="13" t="str">
        <f aca="false">IF($A50="","",IFERROR(INDEX('ISV Inventory'!$AB$6:$AB$255,MATCH(SMALL('ISV Inventory'!$AU$6:$AU$255,$A50),'ISV Inventory'!$AU$6:$AU$255,0))&amp;"",""))</f>
        <v/>
      </c>
      <c r="E50" s="13" t="str">
        <f aca="false">IF($A50="","",IFERROR(INDEX('ISV Inventory'!$B$6:$B$255,MATCH(SMALL('ISV Inventory'!$AU$6:$AU$255,$A50),'ISV Inventory'!$AU$6:$AU$255,0))&amp;"",""))</f>
        <v/>
      </c>
      <c r="F50" s="13" t="str">
        <f aca="false">IF($A50="","",IFERROR(INDEX('ISV Inventory'!$F$6:$F$255,MATCH(SMALL('ISV Inventory'!$AU$6:$AU$255,$A50),'ISV Inventory'!$AU$6:$AU$255,0))&amp;"",""))</f>
        <v/>
      </c>
      <c r="G50" s="49" t="str">
        <f aca="false">IF($A50="","",IFERROR(INDEX('ISV Inventory'!$R$6:$R$255,MATCH(SMALL('ISV Inventory'!$AU$6:$AU$255,$A50),'ISV Inventory'!$AU$6:$AU$255,0)),""))</f>
        <v/>
      </c>
      <c r="H50" s="13" t="str">
        <f aca="false">IF($A50="","",IFERROR(INDEX('ISV Inventory'!$X$6:$X$255,MATCH(SMALL('ISV Inventory'!$AU$6:$AU$255,$A50),'ISV Inventory'!$AU$6:$AU$255,0))&amp;"",""))</f>
        <v/>
      </c>
      <c r="I50" s="47" t="str">
        <f aca="false">IF($A50="","",IFERROR(INDEX('ISV Inventory'!$Z$6:$Z$255,MATCH(SMALL('ISV Inventory'!$AU$6:$AU$255,$A50),'ISV Inventory'!$AU$6:$AU$255,0)),""))</f>
        <v/>
      </c>
      <c r="J50" s="13" t="str">
        <f aca="false">IF($A50="","",IFERROR(INDEX('ISV Inventory'!$AG$6:$AG$255,MATCH(SMALL('ISV Inventory'!$AU$6:$AU$255,$A50),'ISV Inventory'!$AU$6:$AU$255,0))&amp;"",""))</f>
        <v/>
      </c>
      <c r="K50" s="13" t="str">
        <f aca="false">IF($A50="","",IFERROR(INDEX('ISV Inventory'!$AK$6:$AK$255,MATCH(SMALL('ISV Inventory'!$AU$6:$AU$255,$A50),'ISV Inventory'!$AU$6:$AU$255,0))&amp;"",""))</f>
        <v/>
      </c>
      <c r="L50" s="13" t="str">
        <f aca="false">IF($A50="","",IFERROR(INDEX('ISV Inventory'!$AR$6:$AR$255,MATCH(SMALL('ISV Inventory'!$AU$6:$AU$255,$A50),'ISV Inventory'!$AU$6:$AU$255,0))&amp;"",""))</f>
        <v/>
      </c>
      <c r="M50" s="13" t="str">
        <f aca="false">IF($A50="","",IFERROR(INDEX('ISV Inventory'!$AS$6:$AS$255,MATCH(SMALL('ISV Inventory'!$AU$6:$AU$255,$A50),'ISV Inventory'!$AU$6:$AU$255,0))&amp;"",""))</f>
        <v/>
      </c>
    </row>
    <row r="51" customFormat="false" ht="15" hidden="false" customHeight="false" outlineLevel="0" collapsed="false">
      <c r="A51" s="13" t="str">
        <f aca="false">IF(COUNT('ISV Inventory'!$AU$6:$AU$255)&lt;47,"",47)</f>
        <v/>
      </c>
      <c r="B51" s="47" t="str">
        <f aca="false">IF($A51="","",IFERROR(INDEX('ISV Inventory'!$V$6:$V$255,MATCH(SMALL('ISV Inventory'!$AU$6:$AU$255,$A51),'ISV Inventory'!$AU$6:$AU$255,0)),""))</f>
        <v/>
      </c>
      <c r="C51" s="48" t="str">
        <f aca="false">IF($A51="","",IFERROR(INDEX('ISV Inventory'!$AA$6:$AA$255,MATCH(SMALL('ISV Inventory'!$AU$6:$AU$255,$A51),'ISV Inventory'!$AU$6:$AU$255,0)),""))</f>
        <v/>
      </c>
      <c r="D51" s="13" t="str">
        <f aca="false">IF($A51="","",IFERROR(INDEX('ISV Inventory'!$AB$6:$AB$255,MATCH(SMALL('ISV Inventory'!$AU$6:$AU$255,$A51),'ISV Inventory'!$AU$6:$AU$255,0))&amp;"",""))</f>
        <v/>
      </c>
      <c r="E51" s="13" t="str">
        <f aca="false">IF($A51="","",IFERROR(INDEX('ISV Inventory'!$B$6:$B$255,MATCH(SMALL('ISV Inventory'!$AU$6:$AU$255,$A51),'ISV Inventory'!$AU$6:$AU$255,0))&amp;"",""))</f>
        <v/>
      </c>
      <c r="F51" s="13" t="str">
        <f aca="false">IF($A51="","",IFERROR(INDEX('ISV Inventory'!$F$6:$F$255,MATCH(SMALL('ISV Inventory'!$AU$6:$AU$255,$A51),'ISV Inventory'!$AU$6:$AU$255,0))&amp;"",""))</f>
        <v/>
      </c>
      <c r="G51" s="49" t="str">
        <f aca="false">IF($A51="","",IFERROR(INDEX('ISV Inventory'!$R$6:$R$255,MATCH(SMALL('ISV Inventory'!$AU$6:$AU$255,$A51),'ISV Inventory'!$AU$6:$AU$255,0)),""))</f>
        <v/>
      </c>
      <c r="H51" s="13" t="str">
        <f aca="false">IF($A51="","",IFERROR(INDEX('ISV Inventory'!$X$6:$X$255,MATCH(SMALL('ISV Inventory'!$AU$6:$AU$255,$A51),'ISV Inventory'!$AU$6:$AU$255,0))&amp;"",""))</f>
        <v/>
      </c>
      <c r="I51" s="47" t="str">
        <f aca="false">IF($A51="","",IFERROR(INDEX('ISV Inventory'!$Z$6:$Z$255,MATCH(SMALL('ISV Inventory'!$AU$6:$AU$255,$A51),'ISV Inventory'!$AU$6:$AU$255,0)),""))</f>
        <v/>
      </c>
      <c r="J51" s="13" t="str">
        <f aca="false">IF($A51="","",IFERROR(INDEX('ISV Inventory'!$AG$6:$AG$255,MATCH(SMALL('ISV Inventory'!$AU$6:$AU$255,$A51),'ISV Inventory'!$AU$6:$AU$255,0))&amp;"",""))</f>
        <v/>
      </c>
      <c r="K51" s="13" t="str">
        <f aca="false">IF($A51="","",IFERROR(INDEX('ISV Inventory'!$AK$6:$AK$255,MATCH(SMALL('ISV Inventory'!$AU$6:$AU$255,$A51),'ISV Inventory'!$AU$6:$AU$255,0))&amp;"",""))</f>
        <v/>
      </c>
      <c r="L51" s="13" t="str">
        <f aca="false">IF($A51="","",IFERROR(INDEX('ISV Inventory'!$AR$6:$AR$255,MATCH(SMALL('ISV Inventory'!$AU$6:$AU$255,$A51),'ISV Inventory'!$AU$6:$AU$255,0))&amp;"",""))</f>
        <v/>
      </c>
      <c r="M51" s="13" t="str">
        <f aca="false">IF($A51="","",IFERROR(INDEX('ISV Inventory'!$AS$6:$AS$255,MATCH(SMALL('ISV Inventory'!$AU$6:$AU$255,$A51),'ISV Inventory'!$AU$6:$AU$255,0))&amp;"",""))</f>
        <v/>
      </c>
    </row>
    <row r="52" customFormat="false" ht="15" hidden="false" customHeight="false" outlineLevel="0" collapsed="false">
      <c r="A52" s="13" t="str">
        <f aca="false">IF(COUNT('ISV Inventory'!$AU$6:$AU$255)&lt;48,"",48)</f>
        <v/>
      </c>
      <c r="B52" s="47" t="str">
        <f aca="false">IF($A52="","",IFERROR(INDEX('ISV Inventory'!$V$6:$V$255,MATCH(SMALL('ISV Inventory'!$AU$6:$AU$255,$A52),'ISV Inventory'!$AU$6:$AU$255,0)),""))</f>
        <v/>
      </c>
      <c r="C52" s="48" t="str">
        <f aca="false">IF($A52="","",IFERROR(INDEX('ISV Inventory'!$AA$6:$AA$255,MATCH(SMALL('ISV Inventory'!$AU$6:$AU$255,$A52),'ISV Inventory'!$AU$6:$AU$255,0)),""))</f>
        <v/>
      </c>
      <c r="D52" s="13" t="str">
        <f aca="false">IF($A52="","",IFERROR(INDEX('ISV Inventory'!$AB$6:$AB$255,MATCH(SMALL('ISV Inventory'!$AU$6:$AU$255,$A52),'ISV Inventory'!$AU$6:$AU$255,0))&amp;"",""))</f>
        <v/>
      </c>
      <c r="E52" s="13" t="str">
        <f aca="false">IF($A52="","",IFERROR(INDEX('ISV Inventory'!$B$6:$B$255,MATCH(SMALL('ISV Inventory'!$AU$6:$AU$255,$A52),'ISV Inventory'!$AU$6:$AU$255,0))&amp;"",""))</f>
        <v/>
      </c>
      <c r="F52" s="13" t="str">
        <f aca="false">IF($A52="","",IFERROR(INDEX('ISV Inventory'!$F$6:$F$255,MATCH(SMALL('ISV Inventory'!$AU$6:$AU$255,$A52),'ISV Inventory'!$AU$6:$AU$255,0))&amp;"",""))</f>
        <v/>
      </c>
      <c r="G52" s="49" t="str">
        <f aca="false">IF($A52="","",IFERROR(INDEX('ISV Inventory'!$R$6:$R$255,MATCH(SMALL('ISV Inventory'!$AU$6:$AU$255,$A52),'ISV Inventory'!$AU$6:$AU$255,0)),""))</f>
        <v/>
      </c>
      <c r="H52" s="13" t="str">
        <f aca="false">IF($A52="","",IFERROR(INDEX('ISV Inventory'!$X$6:$X$255,MATCH(SMALL('ISV Inventory'!$AU$6:$AU$255,$A52),'ISV Inventory'!$AU$6:$AU$255,0))&amp;"",""))</f>
        <v/>
      </c>
      <c r="I52" s="47" t="str">
        <f aca="false">IF($A52="","",IFERROR(INDEX('ISV Inventory'!$Z$6:$Z$255,MATCH(SMALL('ISV Inventory'!$AU$6:$AU$255,$A52),'ISV Inventory'!$AU$6:$AU$255,0)),""))</f>
        <v/>
      </c>
      <c r="J52" s="13" t="str">
        <f aca="false">IF($A52="","",IFERROR(INDEX('ISV Inventory'!$AG$6:$AG$255,MATCH(SMALL('ISV Inventory'!$AU$6:$AU$255,$A52),'ISV Inventory'!$AU$6:$AU$255,0))&amp;"",""))</f>
        <v/>
      </c>
      <c r="K52" s="13" t="str">
        <f aca="false">IF($A52="","",IFERROR(INDEX('ISV Inventory'!$AK$6:$AK$255,MATCH(SMALL('ISV Inventory'!$AU$6:$AU$255,$A52),'ISV Inventory'!$AU$6:$AU$255,0))&amp;"",""))</f>
        <v/>
      </c>
      <c r="L52" s="13" t="str">
        <f aca="false">IF($A52="","",IFERROR(INDEX('ISV Inventory'!$AR$6:$AR$255,MATCH(SMALL('ISV Inventory'!$AU$6:$AU$255,$A52),'ISV Inventory'!$AU$6:$AU$255,0))&amp;"",""))</f>
        <v/>
      </c>
      <c r="M52" s="13" t="str">
        <f aca="false">IF($A52="","",IFERROR(INDEX('ISV Inventory'!$AS$6:$AS$255,MATCH(SMALL('ISV Inventory'!$AU$6:$AU$255,$A52),'ISV Inventory'!$AU$6:$AU$255,0))&amp;"",""))</f>
        <v/>
      </c>
    </row>
    <row r="53" customFormat="false" ht="15" hidden="false" customHeight="false" outlineLevel="0" collapsed="false">
      <c r="A53" s="13" t="str">
        <f aca="false">IF(COUNT('ISV Inventory'!$AU$6:$AU$255)&lt;49,"",49)</f>
        <v/>
      </c>
      <c r="B53" s="47" t="str">
        <f aca="false">IF($A53="","",IFERROR(INDEX('ISV Inventory'!$V$6:$V$255,MATCH(SMALL('ISV Inventory'!$AU$6:$AU$255,$A53),'ISV Inventory'!$AU$6:$AU$255,0)),""))</f>
        <v/>
      </c>
      <c r="C53" s="48" t="str">
        <f aca="false">IF($A53="","",IFERROR(INDEX('ISV Inventory'!$AA$6:$AA$255,MATCH(SMALL('ISV Inventory'!$AU$6:$AU$255,$A53),'ISV Inventory'!$AU$6:$AU$255,0)),""))</f>
        <v/>
      </c>
      <c r="D53" s="13" t="str">
        <f aca="false">IF($A53="","",IFERROR(INDEX('ISV Inventory'!$AB$6:$AB$255,MATCH(SMALL('ISV Inventory'!$AU$6:$AU$255,$A53),'ISV Inventory'!$AU$6:$AU$255,0))&amp;"",""))</f>
        <v/>
      </c>
      <c r="E53" s="13" t="str">
        <f aca="false">IF($A53="","",IFERROR(INDEX('ISV Inventory'!$B$6:$B$255,MATCH(SMALL('ISV Inventory'!$AU$6:$AU$255,$A53),'ISV Inventory'!$AU$6:$AU$255,0))&amp;"",""))</f>
        <v/>
      </c>
      <c r="F53" s="13" t="str">
        <f aca="false">IF($A53="","",IFERROR(INDEX('ISV Inventory'!$F$6:$F$255,MATCH(SMALL('ISV Inventory'!$AU$6:$AU$255,$A53),'ISV Inventory'!$AU$6:$AU$255,0))&amp;"",""))</f>
        <v/>
      </c>
      <c r="G53" s="49" t="str">
        <f aca="false">IF($A53="","",IFERROR(INDEX('ISV Inventory'!$R$6:$R$255,MATCH(SMALL('ISV Inventory'!$AU$6:$AU$255,$A53),'ISV Inventory'!$AU$6:$AU$255,0)),""))</f>
        <v/>
      </c>
      <c r="H53" s="13" t="str">
        <f aca="false">IF($A53="","",IFERROR(INDEX('ISV Inventory'!$X$6:$X$255,MATCH(SMALL('ISV Inventory'!$AU$6:$AU$255,$A53),'ISV Inventory'!$AU$6:$AU$255,0))&amp;"",""))</f>
        <v/>
      </c>
      <c r="I53" s="47" t="str">
        <f aca="false">IF($A53="","",IFERROR(INDEX('ISV Inventory'!$Z$6:$Z$255,MATCH(SMALL('ISV Inventory'!$AU$6:$AU$255,$A53),'ISV Inventory'!$AU$6:$AU$255,0)),""))</f>
        <v/>
      </c>
      <c r="J53" s="13" t="str">
        <f aca="false">IF($A53="","",IFERROR(INDEX('ISV Inventory'!$AG$6:$AG$255,MATCH(SMALL('ISV Inventory'!$AU$6:$AU$255,$A53),'ISV Inventory'!$AU$6:$AU$255,0))&amp;"",""))</f>
        <v/>
      </c>
      <c r="K53" s="13" t="str">
        <f aca="false">IF($A53="","",IFERROR(INDEX('ISV Inventory'!$AK$6:$AK$255,MATCH(SMALL('ISV Inventory'!$AU$6:$AU$255,$A53),'ISV Inventory'!$AU$6:$AU$255,0))&amp;"",""))</f>
        <v/>
      </c>
      <c r="L53" s="13" t="str">
        <f aca="false">IF($A53="","",IFERROR(INDEX('ISV Inventory'!$AR$6:$AR$255,MATCH(SMALL('ISV Inventory'!$AU$6:$AU$255,$A53),'ISV Inventory'!$AU$6:$AU$255,0))&amp;"",""))</f>
        <v/>
      </c>
      <c r="M53" s="13" t="str">
        <f aca="false">IF($A53="","",IFERROR(INDEX('ISV Inventory'!$AS$6:$AS$255,MATCH(SMALL('ISV Inventory'!$AU$6:$AU$255,$A53),'ISV Inventory'!$AU$6:$AU$255,0))&amp;"",""))</f>
        <v/>
      </c>
    </row>
    <row r="54" customFormat="false" ht="15" hidden="false" customHeight="false" outlineLevel="0" collapsed="false">
      <c r="A54" s="13" t="str">
        <f aca="false">IF(COUNT('ISV Inventory'!$AU$6:$AU$255)&lt;50,"",50)</f>
        <v/>
      </c>
      <c r="B54" s="47" t="str">
        <f aca="false">IF($A54="","",IFERROR(INDEX('ISV Inventory'!$V$6:$V$255,MATCH(SMALL('ISV Inventory'!$AU$6:$AU$255,$A54),'ISV Inventory'!$AU$6:$AU$255,0)),""))</f>
        <v/>
      </c>
      <c r="C54" s="48" t="str">
        <f aca="false">IF($A54="","",IFERROR(INDEX('ISV Inventory'!$AA$6:$AA$255,MATCH(SMALL('ISV Inventory'!$AU$6:$AU$255,$A54),'ISV Inventory'!$AU$6:$AU$255,0)),""))</f>
        <v/>
      </c>
      <c r="D54" s="13" t="str">
        <f aca="false">IF($A54="","",IFERROR(INDEX('ISV Inventory'!$AB$6:$AB$255,MATCH(SMALL('ISV Inventory'!$AU$6:$AU$255,$A54),'ISV Inventory'!$AU$6:$AU$255,0))&amp;"",""))</f>
        <v/>
      </c>
      <c r="E54" s="13" t="str">
        <f aca="false">IF($A54="","",IFERROR(INDEX('ISV Inventory'!$B$6:$B$255,MATCH(SMALL('ISV Inventory'!$AU$6:$AU$255,$A54),'ISV Inventory'!$AU$6:$AU$255,0))&amp;"",""))</f>
        <v/>
      </c>
      <c r="F54" s="13" t="str">
        <f aca="false">IF($A54="","",IFERROR(INDEX('ISV Inventory'!$F$6:$F$255,MATCH(SMALL('ISV Inventory'!$AU$6:$AU$255,$A54),'ISV Inventory'!$AU$6:$AU$255,0))&amp;"",""))</f>
        <v/>
      </c>
      <c r="G54" s="49" t="str">
        <f aca="false">IF($A54="","",IFERROR(INDEX('ISV Inventory'!$R$6:$R$255,MATCH(SMALL('ISV Inventory'!$AU$6:$AU$255,$A54),'ISV Inventory'!$AU$6:$AU$255,0)),""))</f>
        <v/>
      </c>
      <c r="H54" s="13" t="str">
        <f aca="false">IF($A54="","",IFERROR(INDEX('ISV Inventory'!$X$6:$X$255,MATCH(SMALL('ISV Inventory'!$AU$6:$AU$255,$A54),'ISV Inventory'!$AU$6:$AU$255,0))&amp;"",""))</f>
        <v/>
      </c>
      <c r="I54" s="47" t="str">
        <f aca="false">IF($A54="","",IFERROR(INDEX('ISV Inventory'!$Z$6:$Z$255,MATCH(SMALL('ISV Inventory'!$AU$6:$AU$255,$A54),'ISV Inventory'!$AU$6:$AU$255,0)),""))</f>
        <v/>
      </c>
      <c r="J54" s="13" t="str">
        <f aca="false">IF($A54="","",IFERROR(INDEX('ISV Inventory'!$AG$6:$AG$255,MATCH(SMALL('ISV Inventory'!$AU$6:$AU$255,$A54),'ISV Inventory'!$AU$6:$AU$255,0))&amp;"",""))</f>
        <v/>
      </c>
      <c r="K54" s="13" t="str">
        <f aca="false">IF($A54="","",IFERROR(INDEX('ISV Inventory'!$AK$6:$AK$255,MATCH(SMALL('ISV Inventory'!$AU$6:$AU$255,$A54),'ISV Inventory'!$AU$6:$AU$255,0))&amp;"",""))</f>
        <v/>
      </c>
      <c r="L54" s="13" t="str">
        <f aca="false">IF($A54="","",IFERROR(INDEX('ISV Inventory'!$AR$6:$AR$255,MATCH(SMALL('ISV Inventory'!$AU$6:$AU$255,$A54),'ISV Inventory'!$AU$6:$AU$255,0))&amp;"",""))</f>
        <v/>
      </c>
      <c r="M54" s="13" t="str">
        <f aca="false">IF($A54="","",IFERROR(INDEX('ISV Inventory'!$AS$6:$AS$255,MATCH(SMALL('ISV Inventory'!$AU$6:$AU$255,$A54),'ISV Inventory'!$AU$6:$AU$255,0))&amp;"",""))</f>
        <v/>
      </c>
    </row>
    <row r="55" customFormat="false" ht="15" hidden="false" customHeight="false" outlineLevel="0" collapsed="false">
      <c r="A55" s="13" t="str">
        <f aca="false">IF(COUNT('ISV Inventory'!$AU$6:$AU$255)&lt;51,"",51)</f>
        <v/>
      </c>
      <c r="B55" s="47" t="str">
        <f aca="false">IF($A55="","",IFERROR(INDEX('ISV Inventory'!$V$6:$V$255,MATCH(SMALL('ISV Inventory'!$AU$6:$AU$255,$A55),'ISV Inventory'!$AU$6:$AU$255,0)),""))</f>
        <v/>
      </c>
      <c r="C55" s="48" t="str">
        <f aca="false">IF($A55="","",IFERROR(INDEX('ISV Inventory'!$AA$6:$AA$255,MATCH(SMALL('ISV Inventory'!$AU$6:$AU$255,$A55),'ISV Inventory'!$AU$6:$AU$255,0)),""))</f>
        <v/>
      </c>
      <c r="D55" s="13" t="str">
        <f aca="false">IF($A55="","",IFERROR(INDEX('ISV Inventory'!$AB$6:$AB$255,MATCH(SMALL('ISV Inventory'!$AU$6:$AU$255,$A55),'ISV Inventory'!$AU$6:$AU$255,0))&amp;"",""))</f>
        <v/>
      </c>
      <c r="E55" s="13" t="str">
        <f aca="false">IF($A55="","",IFERROR(INDEX('ISV Inventory'!$B$6:$B$255,MATCH(SMALL('ISV Inventory'!$AU$6:$AU$255,$A55),'ISV Inventory'!$AU$6:$AU$255,0))&amp;"",""))</f>
        <v/>
      </c>
      <c r="F55" s="13" t="str">
        <f aca="false">IF($A55="","",IFERROR(INDEX('ISV Inventory'!$F$6:$F$255,MATCH(SMALL('ISV Inventory'!$AU$6:$AU$255,$A55),'ISV Inventory'!$AU$6:$AU$255,0))&amp;"",""))</f>
        <v/>
      </c>
      <c r="G55" s="49" t="str">
        <f aca="false">IF($A55="","",IFERROR(INDEX('ISV Inventory'!$R$6:$R$255,MATCH(SMALL('ISV Inventory'!$AU$6:$AU$255,$A55),'ISV Inventory'!$AU$6:$AU$255,0)),""))</f>
        <v/>
      </c>
      <c r="H55" s="13" t="str">
        <f aca="false">IF($A55="","",IFERROR(INDEX('ISV Inventory'!$X$6:$X$255,MATCH(SMALL('ISV Inventory'!$AU$6:$AU$255,$A55),'ISV Inventory'!$AU$6:$AU$255,0))&amp;"",""))</f>
        <v/>
      </c>
      <c r="I55" s="47" t="str">
        <f aca="false">IF($A55="","",IFERROR(INDEX('ISV Inventory'!$Z$6:$Z$255,MATCH(SMALL('ISV Inventory'!$AU$6:$AU$255,$A55),'ISV Inventory'!$AU$6:$AU$255,0)),""))</f>
        <v/>
      </c>
      <c r="J55" s="13" t="str">
        <f aca="false">IF($A55="","",IFERROR(INDEX('ISV Inventory'!$AG$6:$AG$255,MATCH(SMALL('ISV Inventory'!$AU$6:$AU$255,$A55),'ISV Inventory'!$AU$6:$AU$255,0))&amp;"",""))</f>
        <v/>
      </c>
      <c r="K55" s="13" t="str">
        <f aca="false">IF($A55="","",IFERROR(INDEX('ISV Inventory'!$AK$6:$AK$255,MATCH(SMALL('ISV Inventory'!$AU$6:$AU$255,$A55),'ISV Inventory'!$AU$6:$AU$255,0))&amp;"",""))</f>
        <v/>
      </c>
      <c r="L55" s="13" t="str">
        <f aca="false">IF($A55="","",IFERROR(INDEX('ISV Inventory'!$AR$6:$AR$255,MATCH(SMALL('ISV Inventory'!$AU$6:$AU$255,$A55),'ISV Inventory'!$AU$6:$AU$255,0))&amp;"",""))</f>
        <v/>
      </c>
      <c r="M55" s="13" t="str">
        <f aca="false">IF($A55="","",IFERROR(INDEX('ISV Inventory'!$AS$6:$AS$255,MATCH(SMALL('ISV Inventory'!$AU$6:$AU$255,$A55),'ISV Inventory'!$AU$6:$AU$255,0))&amp;"",""))</f>
        <v/>
      </c>
    </row>
    <row r="56" customFormat="false" ht="15" hidden="false" customHeight="false" outlineLevel="0" collapsed="false">
      <c r="A56" s="13" t="str">
        <f aca="false">IF(COUNT('ISV Inventory'!$AU$6:$AU$255)&lt;52,"",52)</f>
        <v/>
      </c>
      <c r="B56" s="47" t="str">
        <f aca="false">IF($A56="","",IFERROR(INDEX('ISV Inventory'!$V$6:$V$255,MATCH(SMALL('ISV Inventory'!$AU$6:$AU$255,$A56),'ISV Inventory'!$AU$6:$AU$255,0)),""))</f>
        <v/>
      </c>
      <c r="C56" s="48" t="str">
        <f aca="false">IF($A56="","",IFERROR(INDEX('ISV Inventory'!$AA$6:$AA$255,MATCH(SMALL('ISV Inventory'!$AU$6:$AU$255,$A56),'ISV Inventory'!$AU$6:$AU$255,0)),""))</f>
        <v/>
      </c>
      <c r="D56" s="13" t="str">
        <f aca="false">IF($A56="","",IFERROR(INDEX('ISV Inventory'!$AB$6:$AB$255,MATCH(SMALL('ISV Inventory'!$AU$6:$AU$255,$A56),'ISV Inventory'!$AU$6:$AU$255,0))&amp;"",""))</f>
        <v/>
      </c>
      <c r="E56" s="13" t="str">
        <f aca="false">IF($A56="","",IFERROR(INDEX('ISV Inventory'!$B$6:$B$255,MATCH(SMALL('ISV Inventory'!$AU$6:$AU$255,$A56),'ISV Inventory'!$AU$6:$AU$255,0))&amp;"",""))</f>
        <v/>
      </c>
      <c r="F56" s="13" t="str">
        <f aca="false">IF($A56="","",IFERROR(INDEX('ISV Inventory'!$F$6:$F$255,MATCH(SMALL('ISV Inventory'!$AU$6:$AU$255,$A56),'ISV Inventory'!$AU$6:$AU$255,0))&amp;"",""))</f>
        <v/>
      </c>
      <c r="G56" s="49" t="str">
        <f aca="false">IF($A56="","",IFERROR(INDEX('ISV Inventory'!$R$6:$R$255,MATCH(SMALL('ISV Inventory'!$AU$6:$AU$255,$A56),'ISV Inventory'!$AU$6:$AU$255,0)),""))</f>
        <v/>
      </c>
      <c r="H56" s="13" t="str">
        <f aca="false">IF($A56="","",IFERROR(INDEX('ISV Inventory'!$X$6:$X$255,MATCH(SMALL('ISV Inventory'!$AU$6:$AU$255,$A56),'ISV Inventory'!$AU$6:$AU$255,0))&amp;"",""))</f>
        <v/>
      </c>
      <c r="I56" s="47" t="str">
        <f aca="false">IF($A56="","",IFERROR(INDEX('ISV Inventory'!$Z$6:$Z$255,MATCH(SMALL('ISV Inventory'!$AU$6:$AU$255,$A56),'ISV Inventory'!$AU$6:$AU$255,0)),""))</f>
        <v/>
      </c>
      <c r="J56" s="13" t="str">
        <f aca="false">IF($A56="","",IFERROR(INDEX('ISV Inventory'!$AG$6:$AG$255,MATCH(SMALL('ISV Inventory'!$AU$6:$AU$255,$A56),'ISV Inventory'!$AU$6:$AU$255,0))&amp;"",""))</f>
        <v/>
      </c>
      <c r="K56" s="13" t="str">
        <f aca="false">IF($A56="","",IFERROR(INDEX('ISV Inventory'!$AK$6:$AK$255,MATCH(SMALL('ISV Inventory'!$AU$6:$AU$255,$A56),'ISV Inventory'!$AU$6:$AU$255,0))&amp;"",""))</f>
        <v/>
      </c>
      <c r="L56" s="13" t="str">
        <f aca="false">IF($A56="","",IFERROR(INDEX('ISV Inventory'!$AR$6:$AR$255,MATCH(SMALL('ISV Inventory'!$AU$6:$AU$255,$A56),'ISV Inventory'!$AU$6:$AU$255,0))&amp;"",""))</f>
        <v/>
      </c>
      <c r="M56" s="13" t="str">
        <f aca="false">IF($A56="","",IFERROR(INDEX('ISV Inventory'!$AS$6:$AS$255,MATCH(SMALL('ISV Inventory'!$AU$6:$AU$255,$A56),'ISV Inventory'!$AU$6:$AU$255,0))&amp;"",""))</f>
        <v/>
      </c>
    </row>
    <row r="57" customFormat="false" ht="15" hidden="false" customHeight="false" outlineLevel="0" collapsed="false">
      <c r="A57" s="13" t="str">
        <f aca="false">IF(COUNT('ISV Inventory'!$AU$6:$AU$255)&lt;53,"",53)</f>
        <v/>
      </c>
      <c r="B57" s="47" t="str">
        <f aca="false">IF($A57="","",IFERROR(INDEX('ISV Inventory'!$V$6:$V$255,MATCH(SMALL('ISV Inventory'!$AU$6:$AU$255,$A57),'ISV Inventory'!$AU$6:$AU$255,0)),""))</f>
        <v/>
      </c>
      <c r="C57" s="48" t="str">
        <f aca="false">IF($A57="","",IFERROR(INDEX('ISV Inventory'!$AA$6:$AA$255,MATCH(SMALL('ISV Inventory'!$AU$6:$AU$255,$A57),'ISV Inventory'!$AU$6:$AU$255,0)),""))</f>
        <v/>
      </c>
      <c r="D57" s="13" t="str">
        <f aca="false">IF($A57="","",IFERROR(INDEX('ISV Inventory'!$AB$6:$AB$255,MATCH(SMALL('ISV Inventory'!$AU$6:$AU$255,$A57),'ISV Inventory'!$AU$6:$AU$255,0))&amp;"",""))</f>
        <v/>
      </c>
      <c r="E57" s="13" t="str">
        <f aca="false">IF($A57="","",IFERROR(INDEX('ISV Inventory'!$B$6:$B$255,MATCH(SMALL('ISV Inventory'!$AU$6:$AU$255,$A57),'ISV Inventory'!$AU$6:$AU$255,0))&amp;"",""))</f>
        <v/>
      </c>
      <c r="F57" s="13" t="str">
        <f aca="false">IF($A57="","",IFERROR(INDEX('ISV Inventory'!$F$6:$F$255,MATCH(SMALL('ISV Inventory'!$AU$6:$AU$255,$A57),'ISV Inventory'!$AU$6:$AU$255,0))&amp;"",""))</f>
        <v/>
      </c>
      <c r="G57" s="49" t="str">
        <f aca="false">IF($A57="","",IFERROR(INDEX('ISV Inventory'!$R$6:$R$255,MATCH(SMALL('ISV Inventory'!$AU$6:$AU$255,$A57),'ISV Inventory'!$AU$6:$AU$255,0)),""))</f>
        <v/>
      </c>
      <c r="H57" s="13" t="str">
        <f aca="false">IF($A57="","",IFERROR(INDEX('ISV Inventory'!$X$6:$X$255,MATCH(SMALL('ISV Inventory'!$AU$6:$AU$255,$A57),'ISV Inventory'!$AU$6:$AU$255,0))&amp;"",""))</f>
        <v/>
      </c>
      <c r="I57" s="47" t="str">
        <f aca="false">IF($A57="","",IFERROR(INDEX('ISV Inventory'!$Z$6:$Z$255,MATCH(SMALL('ISV Inventory'!$AU$6:$AU$255,$A57),'ISV Inventory'!$AU$6:$AU$255,0)),""))</f>
        <v/>
      </c>
      <c r="J57" s="13" t="str">
        <f aca="false">IF($A57="","",IFERROR(INDEX('ISV Inventory'!$AG$6:$AG$255,MATCH(SMALL('ISV Inventory'!$AU$6:$AU$255,$A57),'ISV Inventory'!$AU$6:$AU$255,0))&amp;"",""))</f>
        <v/>
      </c>
      <c r="K57" s="13" t="str">
        <f aca="false">IF($A57="","",IFERROR(INDEX('ISV Inventory'!$AK$6:$AK$255,MATCH(SMALL('ISV Inventory'!$AU$6:$AU$255,$A57),'ISV Inventory'!$AU$6:$AU$255,0))&amp;"",""))</f>
        <v/>
      </c>
      <c r="L57" s="13" t="str">
        <f aca="false">IF($A57="","",IFERROR(INDEX('ISV Inventory'!$AR$6:$AR$255,MATCH(SMALL('ISV Inventory'!$AU$6:$AU$255,$A57),'ISV Inventory'!$AU$6:$AU$255,0))&amp;"",""))</f>
        <v/>
      </c>
      <c r="M57" s="13" t="str">
        <f aca="false">IF($A57="","",IFERROR(INDEX('ISV Inventory'!$AS$6:$AS$255,MATCH(SMALL('ISV Inventory'!$AU$6:$AU$255,$A57),'ISV Inventory'!$AU$6:$AU$255,0))&amp;"",""))</f>
        <v/>
      </c>
    </row>
    <row r="58" customFormat="false" ht="15" hidden="false" customHeight="false" outlineLevel="0" collapsed="false">
      <c r="A58" s="13" t="str">
        <f aca="false">IF(COUNT('ISV Inventory'!$AU$6:$AU$255)&lt;54,"",54)</f>
        <v/>
      </c>
      <c r="B58" s="47" t="str">
        <f aca="false">IF($A58="","",IFERROR(INDEX('ISV Inventory'!$V$6:$V$255,MATCH(SMALL('ISV Inventory'!$AU$6:$AU$255,$A58),'ISV Inventory'!$AU$6:$AU$255,0)),""))</f>
        <v/>
      </c>
      <c r="C58" s="48" t="str">
        <f aca="false">IF($A58="","",IFERROR(INDEX('ISV Inventory'!$AA$6:$AA$255,MATCH(SMALL('ISV Inventory'!$AU$6:$AU$255,$A58),'ISV Inventory'!$AU$6:$AU$255,0)),""))</f>
        <v/>
      </c>
      <c r="D58" s="13" t="str">
        <f aca="false">IF($A58="","",IFERROR(INDEX('ISV Inventory'!$AB$6:$AB$255,MATCH(SMALL('ISV Inventory'!$AU$6:$AU$255,$A58),'ISV Inventory'!$AU$6:$AU$255,0))&amp;"",""))</f>
        <v/>
      </c>
      <c r="E58" s="13" t="str">
        <f aca="false">IF($A58="","",IFERROR(INDEX('ISV Inventory'!$B$6:$B$255,MATCH(SMALL('ISV Inventory'!$AU$6:$AU$255,$A58),'ISV Inventory'!$AU$6:$AU$255,0))&amp;"",""))</f>
        <v/>
      </c>
      <c r="F58" s="13" t="str">
        <f aca="false">IF($A58="","",IFERROR(INDEX('ISV Inventory'!$F$6:$F$255,MATCH(SMALL('ISV Inventory'!$AU$6:$AU$255,$A58),'ISV Inventory'!$AU$6:$AU$255,0))&amp;"",""))</f>
        <v/>
      </c>
      <c r="G58" s="49" t="str">
        <f aca="false">IF($A58="","",IFERROR(INDEX('ISV Inventory'!$R$6:$R$255,MATCH(SMALL('ISV Inventory'!$AU$6:$AU$255,$A58),'ISV Inventory'!$AU$6:$AU$255,0)),""))</f>
        <v/>
      </c>
      <c r="H58" s="13" t="str">
        <f aca="false">IF($A58="","",IFERROR(INDEX('ISV Inventory'!$X$6:$X$255,MATCH(SMALL('ISV Inventory'!$AU$6:$AU$255,$A58),'ISV Inventory'!$AU$6:$AU$255,0))&amp;"",""))</f>
        <v/>
      </c>
      <c r="I58" s="47" t="str">
        <f aca="false">IF($A58="","",IFERROR(INDEX('ISV Inventory'!$Z$6:$Z$255,MATCH(SMALL('ISV Inventory'!$AU$6:$AU$255,$A58),'ISV Inventory'!$AU$6:$AU$255,0)),""))</f>
        <v/>
      </c>
      <c r="J58" s="13" t="str">
        <f aca="false">IF($A58="","",IFERROR(INDEX('ISV Inventory'!$AG$6:$AG$255,MATCH(SMALL('ISV Inventory'!$AU$6:$AU$255,$A58),'ISV Inventory'!$AU$6:$AU$255,0))&amp;"",""))</f>
        <v/>
      </c>
      <c r="K58" s="13" t="str">
        <f aca="false">IF($A58="","",IFERROR(INDEX('ISV Inventory'!$AK$6:$AK$255,MATCH(SMALL('ISV Inventory'!$AU$6:$AU$255,$A58),'ISV Inventory'!$AU$6:$AU$255,0))&amp;"",""))</f>
        <v/>
      </c>
      <c r="L58" s="13" t="str">
        <f aca="false">IF($A58="","",IFERROR(INDEX('ISV Inventory'!$AR$6:$AR$255,MATCH(SMALL('ISV Inventory'!$AU$6:$AU$255,$A58),'ISV Inventory'!$AU$6:$AU$255,0))&amp;"",""))</f>
        <v/>
      </c>
      <c r="M58" s="13" t="str">
        <f aca="false">IF($A58="","",IFERROR(INDEX('ISV Inventory'!$AS$6:$AS$255,MATCH(SMALL('ISV Inventory'!$AU$6:$AU$255,$A58),'ISV Inventory'!$AU$6:$AU$255,0))&amp;"",""))</f>
        <v/>
      </c>
    </row>
    <row r="59" customFormat="false" ht="15" hidden="false" customHeight="false" outlineLevel="0" collapsed="false">
      <c r="A59" s="13" t="str">
        <f aca="false">IF(COUNT('ISV Inventory'!$AU$6:$AU$255)&lt;55,"",55)</f>
        <v/>
      </c>
      <c r="B59" s="47" t="str">
        <f aca="false">IF($A59="","",IFERROR(INDEX('ISV Inventory'!$V$6:$V$255,MATCH(SMALL('ISV Inventory'!$AU$6:$AU$255,$A59),'ISV Inventory'!$AU$6:$AU$255,0)),""))</f>
        <v/>
      </c>
      <c r="C59" s="48" t="str">
        <f aca="false">IF($A59="","",IFERROR(INDEX('ISV Inventory'!$AA$6:$AA$255,MATCH(SMALL('ISV Inventory'!$AU$6:$AU$255,$A59),'ISV Inventory'!$AU$6:$AU$255,0)),""))</f>
        <v/>
      </c>
      <c r="D59" s="13" t="str">
        <f aca="false">IF($A59="","",IFERROR(INDEX('ISV Inventory'!$AB$6:$AB$255,MATCH(SMALL('ISV Inventory'!$AU$6:$AU$255,$A59),'ISV Inventory'!$AU$6:$AU$255,0))&amp;"",""))</f>
        <v/>
      </c>
      <c r="E59" s="13" t="str">
        <f aca="false">IF($A59="","",IFERROR(INDEX('ISV Inventory'!$B$6:$B$255,MATCH(SMALL('ISV Inventory'!$AU$6:$AU$255,$A59),'ISV Inventory'!$AU$6:$AU$255,0))&amp;"",""))</f>
        <v/>
      </c>
      <c r="F59" s="13" t="str">
        <f aca="false">IF($A59="","",IFERROR(INDEX('ISV Inventory'!$F$6:$F$255,MATCH(SMALL('ISV Inventory'!$AU$6:$AU$255,$A59),'ISV Inventory'!$AU$6:$AU$255,0))&amp;"",""))</f>
        <v/>
      </c>
      <c r="G59" s="49" t="str">
        <f aca="false">IF($A59="","",IFERROR(INDEX('ISV Inventory'!$R$6:$R$255,MATCH(SMALL('ISV Inventory'!$AU$6:$AU$255,$A59),'ISV Inventory'!$AU$6:$AU$255,0)),""))</f>
        <v/>
      </c>
      <c r="H59" s="13" t="str">
        <f aca="false">IF($A59="","",IFERROR(INDEX('ISV Inventory'!$X$6:$X$255,MATCH(SMALL('ISV Inventory'!$AU$6:$AU$255,$A59),'ISV Inventory'!$AU$6:$AU$255,0))&amp;"",""))</f>
        <v/>
      </c>
      <c r="I59" s="47" t="str">
        <f aca="false">IF($A59="","",IFERROR(INDEX('ISV Inventory'!$Z$6:$Z$255,MATCH(SMALL('ISV Inventory'!$AU$6:$AU$255,$A59),'ISV Inventory'!$AU$6:$AU$255,0)),""))</f>
        <v/>
      </c>
      <c r="J59" s="13" t="str">
        <f aca="false">IF($A59="","",IFERROR(INDEX('ISV Inventory'!$AG$6:$AG$255,MATCH(SMALL('ISV Inventory'!$AU$6:$AU$255,$A59),'ISV Inventory'!$AU$6:$AU$255,0))&amp;"",""))</f>
        <v/>
      </c>
      <c r="K59" s="13" t="str">
        <f aca="false">IF($A59="","",IFERROR(INDEX('ISV Inventory'!$AK$6:$AK$255,MATCH(SMALL('ISV Inventory'!$AU$6:$AU$255,$A59),'ISV Inventory'!$AU$6:$AU$255,0))&amp;"",""))</f>
        <v/>
      </c>
      <c r="L59" s="13" t="str">
        <f aca="false">IF($A59="","",IFERROR(INDEX('ISV Inventory'!$AR$6:$AR$255,MATCH(SMALL('ISV Inventory'!$AU$6:$AU$255,$A59),'ISV Inventory'!$AU$6:$AU$255,0))&amp;"",""))</f>
        <v/>
      </c>
      <c r="M59" s="13" t="str">
        <f aca="false">IF($A59="","",IFERROR(INDEX('ISV Inventory'!$AS$6:$AS$255,MATCH(SMALL('ISV Inventory'!$AU$6:$AU$255,$A59),'ISV Inventory'!$AU$6:$AU$255,0))&amp;"",""))</f>
        <v/>
      </c>
    </row>
    <row r="60" customFormat="false" ht="15" hidden="false" customHeight="false" outlineLevel="0" collapsed="false">
      <c r="A60" s="13" t="str">
        <f aca="false">IF(COUNT('ISV Inventory'!$AU$6:$AU$255)&lt;56,"",56)</f>
        <v/>
      </c>
      <c r="B60" s="47" t="str">
        <f aca="false">IF($A60="","",IFERROR(INDEX('ISV Inventory'!$V$6:$V$255,MATCH(SMALL('ISV Inventory'!$AU$6:$AU$255,$A60),'ISV Inventory'!$AU$6:$AU$255,0)),""))</f>
        <v/>
      </c>
      <c r="C60" s="48" t="str">
        <f aca="false">IF($A60="","",IFERROR(INDEX('ISV Inventory'!$AA$6:$AA$255,MATCH(SMALL('ISV Inventory'!$AU$6:$AU$255,$A60),'ISV Inventory'!$AU$6:$AU$255,0)),""))</f>
        <v/>
      </c>
      <c r="D60" s="13" t="str">
        <f aca="false">IF($A60="","",IFERROR(INDEX('ISV Inventory'!$AB$6:$AB$255,MATCH(SMALL('ISV Inventory'!$AU$6:$AU$255,$A60),'ISV Inventory'!$AU$6:$AU$255,0))&amp;"",""))</f>
        <v/>
      </c>
      <c r="E60" s="13" t="str">
        <f aca="false">IF($A60="","",IFERROR(INDEX('ISV Inventory'!$B$6:$B$255,MATCH(SMALL('ISV Inventory'!$AU$6:$AU$255,$A60),'ISV Inventory'!$AU$6:$AU$255,0))&amp;"",""))</f>
        <v/>
      </c>
      <c r="F60" s="13" t="str">
        <f aca="false">IF($A60="","",IFERROR(INDEX('ISV Inventory'!$F$6:$F$255,MATCH(SMALL('ISV Inventory'!$AU$6:$AU$255,$A60),'ISV Inventory'!$AU$6:$AU$255,0))&amp;"",""))</f>
        <v/>
      </c>
      <c r="G60" s="49" t="str">
        <f aca="false">IF($A60="","",IFERROR(INDEX('ISV Inventory'!$R$6:$R$255,MATCH(SMALL('ISV Inventory'!$AU$6:$AU$255,$A60),'ISV Inventory'!$AU$6:$AU$255,0)),""))</f>
        <v/>
      </c>
      <c r="H60" s="13" t="str">
        <f aca="false">IF($A60="","",IFERROR(INDEX('ISV Inventory'!$X$6:$X$255,MATCH(SMALL('ISV Inventory'!$AU$6:$AU$255,$A60),'ISV Inventory'!$AU$6:$AU$255,0))&amp;"",""))</f>
        <v/>
      </c>
      <c r="I60" s="47" t="str">
        <f aca="false">IF($A60="","",IFERROR(INDEX('ISV Inventory'!$Z$6:$Z$255,MATCH(SMALL('ISV Inventory'!$AU$6:$AU$255,$A60),'ISV Inventory'!$AU$6:$AU$255,0)),""))</f>
        <v/>
      </c>
      <c r="J60" s="13" t="str">
        <f aca="false">IF($A60="","",IFERROR(INDEX('ISV Inventory'!$AG$6:$AG$255,MATCH(SMALL('ISV Inventory'!$AU$6:$AU$255,$A60),'ISV Inventory'!$AU$6:$AU$255,0))&amp;"",""))</f>
        <v/>
      </c>
      <c r="K60" s="13" t="str">
        <f aca="false">IF($A60="","",IFERROR(INDEX('ISV Inventory'!$AK$6:$AK$255,MATCH(SMALL('ISV Inventory'!$AU$6:$AU$255,$A60),'ISV Inventory'!$AU$6:$AU$255,0))&amp;"",""))</f>
        <v/>
      </c>
      <c r="L60" s="13" t="str">
        <f aca="false">IF($A60="","",IFERROR(INDEX('ISV Inventory'!$AR$6:$AR$255,MATCH(SMALL('ISV Inventory'!$AU$6:$AU$255,$A60),'ISV Inventory'!$AU$6:$AU$255,0))&amp;"",""))</f>
        <v/>
      </c>
      <c r="M60" s="13" t="str">
        <f aca="false">IF($A60="","",IFERROR(INDEX('ISV Inventory'!$AS$6:$AS$255,MATCH(SMALL('ISV Inventory'!$AU$6:$AU$255,$A60),'ISV Inventory'!$AU$6:$AU$255,0))&amp;"",""))</f>
        <v/>
      </c>
    </row>
    <row r="61" customFormat="false" ht="15" hidden="false" customHeight="false" outlineLevel="0" collapsed="false">
      <c r="A61" s="13" t="str">
        <f aca="false">IF(COUNT('ISV Inventory'!$AU$6:$AU$255)&lt;57,"",57)</f>
        <v/>
      </c>
      <c r="B61" s="47" t="str">
        <f aca="false">IF($A61="","",IFERROR(INDEX('ISV Inventory'!$V$6:$V$255,MATCH(SMALL('ISV Inventory'!$AU$6:$AU$255,$A61),'ISV Inventory'!$AU$6:$AU$255,0)),""))</f>
        <v/>
      </c>
      <c r="C61" s="48" t="str">
        <f aca="false">IF($A61="","",IFERROR(INDEX('ISV Inventory'!$AA$6:$AA$255,MATCH(SMALL('ISV Inventory'!$AU$6:$AU$255,$A61),'ISV Inventory'!$AU$6:$AU$255,0)),""))</f>
        <v/>
      </c>
      <c r="D61" s="13" t="str">
        <f aca="false">IF($A61="","",IFERROR(INDEX('ISV Inventory'!$AB$6:$AB$255,MATCH(SMALL('ISV Inventory'!$AU$6:$AU$255,$A61),'ISV Inventory'!$AU$6:$AU$255,0))&amp;"",""))</f>
        <v/>
      </c>
      <c r="E61" s="13" t="str">
        <f aca="false">IF($A61="","",IFERROR(INDEX('ISV Inventory'!$B$6:$B$255,MATCH(SMALL('ISV Inventory'!$AU$6:$AU$255,$A61),'ISV Inventory'!$AU$6:$AU$255,0))&amp;"",""))</f>
        <v/>
      </c>
      <c r="F61" s="13" t="str">
        <f aca="false">IF($A61="","",IFERROR(INDEX('ISV Inventory'!$F$6:$F$255,MATCH(SMALL('ISV Inventory'!$AU$6:$AU$255,$A61),'ISV Inventory'!$AU$6:$AU$255,0))&amp;"",""))</f>
        <v/>
      </c>
      <c r="G61" s="49" t="str">
        <f aca="false">IF($A61="","",IFERROR(INDEX('ISV Inventory'!$R$6:$R$255,MATCH(SMALL('ISV Inventory'!$AU$6:$AU$255,$A61),'ISV Inventory'!$AU$6:$AU$255,0)),""))</f>
        <v/>
      </c>
      <c r="H61" s="13" t="str">
        <f aca="false">IF($A61="","",IFERROR(INDEX('ISV Inventory'!$X$6:$X$255,MATCH(SMALL('ISV Inventory'!$AU$6:$AU$255,$A61),'ISV Inventory'!$AU$6:$AU$255,0))&amp;"",""))</f>
        <v/>
      </c>
      <c r="I61" s="47" t="str">
        <f aca="false">IF($A61="","",IFERROR(INDEX('ISV Inventory'!$Z$6:$Z$255,MATCH(SMALL('ISV Inventory'!$AU$6:$AU$255,$A61),'ISV Inventory'!$AU$6:$AU$255,0)),""))</f>
        <v/>
      </c>
      <c r="J61" s="13" t="str">
        <f aca="false">IF($A61="","",IFERROR(INDEX('ISV Inventory'!$AG$6:$AG$255,MATCH(SMALL('ISV Inventory'!$AU$6:$AU$255,$A61),'ISV Inventory'!$AU$6:$AU$255,0))&amp;"",""))</f>
        <v/>
      </c>
      <c r="K61" s="13" t="str">
        <f aca="false">IF($A61="","",IFERROR(INDEX('ISV Inventory'!$AK$6:$AK$255,MATCH(SMALL('ISV Inventory'!$AU$6:$AU$255,$A61),'ISV Inventory'!$AU$6:$AU$255,0))&amp;"",""))</f>
        <v/>
      </c>
      <c r="L61" s="13" t="str">
        <f aca="false">IF($A61="","",IFERROR(INDEX('ISV Inventory'!$AR$6:$AR$255,MATCH(SMALL('ISV Inventory'!$AU$6:$AU$255,$A61),'ISV Inventory'!$AU$6:$AU$255,0))&amp;"",""))</f>
        <v/>
      </c>
      <c r="M61" s="13" t="str">
        <f aca="false">IF($A61="","",IFERROR(INDEX('ISV Inventory'!$AS$6:$AS$255,MATCH(SMALL('ISV Inventory'!$AU$6:$AU$255,$A61),'ISV Inventory'!$AU$6:$AU$255,0))&amp;"",""))</f>
        <v/>
      </c>
    </row>
    <row r="62" customFormat="false" ht="15" hidden="false" customHeight="false" outlineLevel="0" collapsed="false">
      <c r="A62" s="13" t="str">
        <f aca="false">IF(COUNT('ISV Inventory'!$AU$6:$AU$255)&lt;58,"",58)</f>
        <v/>
      </c>
      <c r="B62" s="47" t="str">
        <f aca="false">IF($A62="","",IFERROR(INDEX('ISV Inventory'!$V$6:$V$255,MATCH(SMALL('ISV Inventory'!$AU$6:$AU$255,$A62),'ISV Inventory'!$AU$6:$AU$255,0)),""))</f>
        <v/>
      </c>
      <c r="C62" s="48" t="str">
        <f aca="false">IF($A62="","",IFERROR(INDEX('ISV Inventory'!$AA$6:$AA$255,MATCH(SMALL('ISV Inventory'!$AU$6:$AU$255,$A62),'ISV Inventory'!$AU$6:$AU$255,0)),""))</f>
        <v/>
      </c>
      <c r="D62" s="13" t="str">
        <f aca="false">IF($A62="","",IFERROR(INDEX('ISV Inventory'!$AB$6:$AB$255,MATCH(SMALL('ISV Inventory'!$AU$6:$AU$255,$A62),'ISV Inventory'!$AU$6:$AU$255,0))&amp;"",""))</f>
        <v/>
      </c>
      <c r="E62" s="13" t="str">
        <f aca="false">IF($A62="","",IFERROR(INDEX('ISV Inventory'!$B$6:$B$255,MATCH(SMALL('ISV Inventory'!$AU$6:$AU$255,$A62),'ISV Inventory'!$AU$6:$AU$255,0))&amp;"",""))</f>
        <v/>
      </c>
      <c r="F62" s="13" t="str">
        <f aca="false">IF($A62="","",IFERROR(INDEX('ISV Inventory'!$F$6:$F$255,MATCH(SMALL('ISV Inventory'!$AU$6:$AU$255,$A62),'ISV Inventory'!$AU$6:$AU$255,0))&amp;"",""))</f>
        <v/>
      </c>
      <c r="G62" s="49" t="str">
        <f aca="false">IF($A62="","",IFERROR(INDEX('ISV Inventory'!$R$6:$R$255,MATCH(SMALL('ISV Inventory'!$AU$6:$AU$255,$A62),'ISV Inventory'!$AU$6:$AU$255,0)),""))</f>
        <v/>
      </c>
      <c r="H62" s="13" t="str">
        <f aca="false">IF($A62="","",IFERROR(INDEX('ISV Inventory'!$X$6:$X$255,MATCH(SMALL('ISV Inventory'!$AU$6:$AU$255,$A62),'ISV Inventory'!$AU$6:$AU$255,0))&amp;"",""))</f>
        <v/>
      </c>
      <c r="I62" s="47" t="str">
        <f aca="false">IF($A62="","",IFERROR(INDEX('ISV Inventory'!$Z$6:$Z$255,MATCH(SMALL('ISV Inventory'!$AU$6:$AU$255,$A62),'ISV Inventory'!$AU$6:$AU$255,0)),""))</f>
        <v/>
      </c>
      <c r="J62" s="13" t="str">
        <f aca="false">IF($A62="","",IFERROR(INDEX('ISV Inventory'!$AG$6:$AG$255,MATCH(SMALL('ISV Inventory'!$AU$6:$AU$255,$A62),'ISV Inventory'!$AU$6:$AU$255,0))&amp;"",""))</f>
        <v/>
      </c>
      <c r="K62" s="13" t="str">
        <f aca="false">IF($A62="","",IFERROR(INDEX('ISV Inventory'!$AK$6:$AK$255,MATCH(SMALL('ISV Inventory'!$AU$6:$AU$255,$A62),'ISV Inventory'!$AU$6:$AU$255,0))&amp;"",""))</f>
        <v/>
      </c>
      <c r="L62" s="13" t="str">
        <f aca="false">IF($A62="","",IFERROR(INDEX('ISV Inventory'!$AR$6:$AR$255,MATCH(SMALL('ISV Inventory'!$AU$6:$AU$255,$A62),'ISV Inventory'!$AU$6:$AU$255,0))&amp;"",""))</f>
        <v/>
      </c>
      <c r="M62" s="13" t="str">
        <f aca="false">IF($A62="","",IFERROR(INDEX('ISV Inventory'!$AS$6:$AS$255,MATCH(SMALL('ISV Inventory'!$AU$6:$AU$255,$A62),'ISV Inventory'!$AU$6:$AU$255,0))&amp;"",""))</f>
        <v/>
      </c>
    </row>
    <row r="63" customFormat="false" ht="15" hidden="false" customHeight="false" outlineLevel="0" collapsed="false">
      <c r="A63" s="13" t="str">
        <f aca="false">IF(COUNT('ISV Inventory'!$AU$6:$AU$255)&lt;59,"",59)</f>
        <v/>
      </c>
      <c r="B63" s="47" t="str">
        <f aca="false">IF($A63="","",IFERROR(INDEX('ISV Inventory'!$V$6:$V$255,MATCH(SMALL('ISV Inventory'!$AU$6:$AU$255,$A63),'ISV Inventory'!$AU$6:$AU$255,0)),""))</f>
        <v/>
      </c>
      <c r="C63" s="48" t="str">
        <f aca="false">IF($A63="","",IFERROR(INDEX('ISV Inventory'!$AA$6:$AA$255,MATCH(SMALL('ISV Inventory'!$AU$6:$AU$255,$A63),'ISV Inventory'!$AU$6:$AU$255,0)),""))</f>
        <v/>
      </c>
      <c r="D63" s="13" t="str">
        <f aca="false">IF($A63="","",IFERROR(INDEX('ISV Inventory'!$AB$6:$AB$255,MATCH(SMALL('ISV Inventory'!$AU$6:$AU$255,$A63),'ISV Inventory'!$AU$6:$AU$255,0))&amp;"",""))</f>
        <v/>
      </c>
      <c r="E63" s="13" t="str">
        <f aca="false">IF($A63="","",IFERROR(INDEX('ISV Inventory'!$B$6:$B$255,MATCH(SMALL('ISV Inventory'!$AU$6:$AU$255,$A63),'ISV Inventory'!$AU$6:$AU$255,0))&amp;"",""))</f>
        <v/>
      </c>
      <c r="F63" s="13" t="str">
        <f aca="false">IF($A63="","",IFERROR(INDEX('ISV Inventory'!$F$6:$F$255,MATCH(SMALL('ISV Inventory'!$AU$6:$AU$255,$A63),'ISV Inventory'!$AU$6:$AU$255,0))&amp;"",""))</f>
        <v/>
      </c>
      <c r="G63" s="49" t="str">
        <f aca="false">IF($A63="","",IFERROR(INDEX('ISV Inventory'!$R$6:$R$255,MATCH(SMALL('ISV Inventory'!$AU$6:$AU$255,$A63),'ISV Inventory'!$AU$6:$AU$255,0)),""))</f>
        <v/>
      </c>
      <c r="H63" s="13" t="str">
        <f aca="false">IF($A63="","",IFERROR(INDEX('ISV Inventory'!$X$6:$X$255,MATCH(SMALL('ISV Inventory'!$AU$6:$AU$255,$A63),'ISV Inventory'!$AU$6:$AU$255,0))&amp;"",""))</f>
        <v/>
      </c>
      <c r="I63" s="47" t="str">
        <f aca="false">IF($A63="","",IFERROR(INDEX('ISV Inventory'!$Z$6:$Z$255,MATCH(SMALL('ISV Inventory'!$AU$6:$AU$255,$A63),'ISV Inventory'!$AU$6:$AU$255,0)),""))</f>
        <v/>
      </c>
      <c r="J63" s="13" t="str">
        <f aca="false">IF($A63="","",IFERROR(INDEX('ISV Inventory'!$AG$6:$AG$255,MATCH(SMALL('ISV Inventory'!$AU$6:$AU$255,$A63),'ISV Inventory'!$AU$6:$AU$255,0))&amp;"",""))</f>
        <v/>
      </c>
      <c r="K63" s="13" t="str">
        <f aca="false">IF($A63="","",IFERROR(INDEX('ISV Inventory'!$AK$6:$AK$255,MATCH(SMALL('ISV Inventory'!$AU$6:$AU$255,$A63),'ISV Inventory'!$AU$6:$AU$255,0))&amp;"",""))</f>
        <v/>
      </c>
      <c r="L63" s="13" t="str">
        <f aca="false">IF($A63="","",IFERROR(INDEX('ISV Inventory'!$AR$6:$AR$255,MATCH(SMALL('ISV Inventory'!$AU$6:$AU$255,$A63),'ISV Inventory'!$AU$6:$AU$255,0))&amp;"",""))</f>
        <v/>
      </c>
      <c r="M63" s="13" t="str">
        <f aca="false">IF($A63="","",IFERROR(INDEX('ISV Inventory'!$AS$6:$AS$255,MATCH(SMALL('ISV Inventory'!$AU$6:$AU$255,$A63),'ISV Inventory'!$AU$6:$AU$255,0))&amp;"",""))</f>
        <v/>
      </c>
    </row>
    <row r="64" customFormat="false" ht="15" hidden="false" customHeight="false" outlineLevel="0" collapsed="false">
      <c r="A64" s="13" t="str">
        <f aca="false">IF(COUNT('ISV Inventory'!$AU$6:$AU$255)&lt;60,"",60)</f>
        <v/>
      </c>
      <c r="B64" s="47" t="str">
        <f aca="false">IF($A64="","",IFERROR(INDEX('ISV Inventory'!$V$6:$V$255,MATCH(SMALL('ISV Inventory'!$AU$6:$AU$255,$A64),'ISV Inventory'!$AU$6:$AU$255,0)),""))</f>
        <v/>
      </c>
      <c r="C64" s="48" t="str">
        <f aca="false">IF($A64="","",IFERROR(INDEX('ISV Inventory'!$AA$6:$AA$255,MATCH(SMALL('ISV Inventory'!$AU$6:$AU$255,$A64),'ISV Inventory'!$AU$6:$AU$255,0)),""))</f>
        <v/>
      </c>
      <c r="D64" s="13" t="str">
        <f aca="false">IF($A64="","",IFERROR(INDEX('ISV Inventory'!$AB$6:$AB$255,MATCH(SMALL('ISV Inventory'!$AU$6:$AU$255,$A64),'ISV Inventory'!$AU$6:$AU$255,0))&amp;"",""))</f>
        <v/>
      </c>
      <c r="E64" s="13" t="str">
        <f aca="false">IF($A64="","",IFERROR(INDEX('ISV Inventory'!$B$6:$B$255,MATCH(SMALL('ISV Inventory'!$AU$6:$AU$255,$A64),'ISV Inventory'!$AU$6:$AU$255,0))&amp;"",""))</f>
        <v/>
      </c>
      <c r="F64" s="13" t="str">
        <f aca="false">IF($A64="","",IFERROR(INDEX('ISV Inventory'!$F$6:$F$255,MATCH(SMALL('ISV Inventory'!$AU$6:$AU$255,$A64),'ISV Inventory'!$AU$6:$AU$255,0))&amp;"",""))</f>
        <v/>
      </c>
      <c r="G64" s="49" t="str">
        <f aca="false">IF($A64="","",IFERROR(INDEX('ISV Inventory'!$R$6:$R$255,MATCH(SMALL('ISV Inventory'!$AU$6:$AU$255,$A64),'ISV Inventory'!$AU$6:$AU$255,0)),""))</f>
        <v/>
      </c>
      <c r="H64" s="13" t="str">
        <f aca="false">IF($A64="","",IFERROR(INDEX('ISV Inventory'!$X$6:$X$255,MATCH(SMALL('ISV Inventory'!$AU$6:$AU$255,$A64),'ISV Inventory'!$AU$6:$AU$255,0))&amp;"",""))</f>
        <v/>
      </c>
      <c r="I64" s="47" t="str">
        <f aca="false">IF($A64="","",IFERROR(INDEX('ISV Inventory'!$Z$6:$Z$255,MATCH(SMALL('ISV Inventory'!$AU$6:$AU$255,$A64),'ISV Inventory'!$AU$6:$AU$255,0)),""))</f>
        <v/>
      </c>
      <c r="J64" s="13" t="str">
        <f aca="false">IF($A64="","",IFERROR(INDEX('ISV Inventory'!$AG$6:$AG$255,MATCH(SMALL('ISV Inventory'!$AU$6:$AU$255,$A64),'ISV Inventory'!$AU$6:$AU$255,0))&amp;"",""))</f>
        <v/>
      </c>
      <c r="K64" s="13" t="str">
        <f aca="false">IF($A64="","",IFERROR(INDEX('ISV Inventory'!$AK$6:$AK$255,MATCH(SMALL('ISV Inventory'!$AU$6:$AU$255,$A64),'ISV Inventory'!$AU$6:$AU$255,0))&amp;"",""))</f>
        <v/>
      </c>
      <c r="L64" s="13" t="str">
        <f aca="false">IF($A64="","",IFERROR(INDEX('ISV Inventory'!$AR$6:$AR$255,MATCH(SMALL('ISV Inventory'!$AU$6:$AU$255,$A64),'ISV Inventory'!$AU$6:$AU$255,0))&amp;"",""))</f>
        <v/>
      </c>
      <c r="M64" s="13" t="str">
        <f aca="false">IF($A64="","",IFERROR(INDEX('ISV Inventory'!$AS$6:$AS$255,MATCH(SMALL('ISV Inventory'!$AU$6:$AU$255,$A64),'ISV Inventory'!$AU$6:$AU$255,0))&amp;"",""))</f>
        <v/>
      </c>
    </row>
    <row r="65" customFormat="false" ht="15" hidden="false" customHeight="false" outlineLevel="0" collapsed="false">
      <c r="A65" s="13" t="str">
        <f aca="false">IF(COUNT('ISV Inventory'!$AU$6:$AU$255)&lt;61,"",61)</f>
        <v/>
      </c>
      <c r="B65" s="47" t="str">
        <f aca="false">IF($A65="","",IFERROR(INDEX('ISV Inventory'!$V$6:$V$255,MATCH(SMALL('ISV Inventory'!$AU$6:$AU$255,$A65),'ISV Inventory'!$AU$6:$AU$255,0)),""))</f>
        <v/>
      </c>
      <c r="C65" s="48" t="str">
        <f aca="false">IF($A65="","",IFERROR(INDEX('ISV Inventory'!$AA$6:$AA$255,MATCH(SMALL('ISV Inventory'!$AU$6:$AU$255,$A65),'ISV Inventory'!$AU$6:$AU$255,0)),""))</f>
        <v/>
      </c>
      <c r="D65" s="13" t="str">
        <f aca="false">IF($A65="","",IFERROR(INDEX('ISV Inventory'!$AB$6:$AB$255,MATCH(SMALL('ISV Inventory'!$AU$6:$AU$255,$A65),'ISV Inventory'!$AU$6:$AU$255,0))&amp;"",""))</f>
        <v/>
      </c>
      <c r="E65" s="13" t="str">
        <f aca="false">IF($A65="","",IFERROR(INDEX('ISV Inventory'!$B$6:$B$255,MATCH(SMALL('ISV Inventory'!$AU$6:$AU$255,$A65),'ISV Inventory'!$AU$6:$AU$255,0))&amp;"",""))</f>
        <v/>
      </c>
      <c r="F65" s="13" t="str">
        <f aca="false">IF($A65="","",IFERROR(INDEX('ISV Inventory'!$F$6:$F$255,MATCH(SMALL('ISV Inventory'!$AU$6:$AU$255,$A65),'ISV Inventory'!$AU$6:$AU$255,0))&amp;"",""))</f>
        <v/>
      </c>
      <c r="G65" s="49" t="str">
        <f aca="false">IF($A65="","",IFERROR(INDEX('ISV Inventory'!$R$6:$R$255,MATCH(SMALL('ISV Inventory'!$AU$6:$AU$255,$A65),'ISV Inventory'!$AU$6:$AU$255,0)),""))</f>
        <v/>
      </c>
      <c r="H65" s="13" t="str">
        <f aca="false">IF($A65="","",IFERROR(INDEX('ISV Inventory'!$X$6:$X$255,MATCH(SMALL('ISV Inventory'!$AU$6:$AU$255,$A65),'ISV Inventory'!$AU$6:$AU$255,0))&amp;"",""))</f>
        <v/>
      </c>
      <c r="I65" s="47" t="str">
        <f aca="false">IF($A65="","",IFERROR(INDEX('ISV Inventory'!$Z$6:$Z$255,MATCH(SMALL('ISV Inventory'!$AU$6:$AU$255,$A65),'ISV Inventory'!$AU$6:$AU$255,0)),""))</f>
        <v/>
      </c>
      <c r="J65" s="13" t="str">
        <f aca="false">IF($A65="","",IFERROR(INDEX('ISV Inventory'!$AG$6:$AG$255,MATCH(SMALL('ISV Inventory'!$AU$6:$AU$255,$A65),'ISV Inventory'!$AU$6:$AU$255,0))&amp;"",""))</f>
        <v/>
      </c>
      <c r="K65" s="13" t="str">
        <f aca="false">IF($A65="","",IFERROR(INDEX('ISV Inventory'!$AK$6:$AK$255,MATCH(SMALL('ISV Inventory'!$AU$6:$AU$255,$A65),'ISV Inventory'!$AU$6:$AU$255,0))&amp;"",""))</f>
        <v/>
      </c>
      <c r="L65" s="13" t="str">
        <f aca="false">IF($A65="","",IFERROR(INDEX('ISV Inventory'!$AR$6:$AR$255,MATCH(SMALL('ISV Inventory'!$AU$6:$AU$255,$A65),'ISV Inventory'!$AU$6:$AU$255,0))&amp;"",""))</f>
        <v/>
      </c>
      <c r="M65" s="13" t="str">
        <f aca="false">IF($A65="","",IFERROR(INDEX('ISV Inventory'!$AS$6:$AS$255,MATCH(SMALL('ISV Inventory'!$AU$6:$AU$255,$A65),'ISV Inventory'!$AU$6:$AU$255,0))&amp;"",""))</f>
        <v/>
      </c>
    </row>
    <row r="66" customFormat="false" ht="15" hidden="false" customHeight="false" outlineLevel="0" collapsed="false">
      <c r="A66" s="13" t="str">
        <f aca="false">IF(COUNT('ISV Inventory'!$AU$6:$AU$255)&lt;62,"",62)</f>
        <v/>
      </c>
      <c r="B66" s="47" t="str">
        <f aca="false">IF($A66="","",IFERROR(INDEX('ISV Inventory'!$V$6:$V$255,MATCH(SMALL('ISV Inventory'!$AU$6:$AU$255,$A66),'ISV Inventory'!$AU$6:$AU$255,0)),""))</f>
        <v/>
      </c>
      <c r="C66" s="48" t="str">
        <f aca="false">IF($A66="","",IFERROR(INDEX('ISV Inventory'!$AA$6:$AA$255,MATCH(SMALL('ISV Inventory'!$AU$6:$AU$255,$A66),'ISV Inventory'!$AU$6:$AU$255,0)),""))</f>
        <v/>
      </c>
      <c r="D66" s="13" t="str">
        <f aca="false">IF($A66="","",IFERROR(INDEX('ISV Inventory'!$AB$6:$AB$255,MATCH(SMALL('ISV Inventory'!$AU$6:$AU$255,$A66),'ISV Inventory'!$AU$6:$AU$255,0))&amp;"",""))</f>
        <v/>
      </c>
      <c r="E66" s="13" t="str">
        <f aca="false">IF($A66="","",IFERROR(INDEX('ISV Inventory'!$B$6:$B$255,MATCH(SMALL('ISV Inventory'!$AU$6:$AU$255,$A66),'ISV Inventory'!$AU$6:$AU$255,0))&amp;"",""))</f>
        <v/>
      </c>
      <c r="F66" s="13" t="str">
        <f aca="false">IF($A66="","",IFERROR(INDEX('ISV Inventory'!$F$6:$F$255,MATCH(SMALL('ISV Inventory'!$AU$6:$AU$255,$A66),'ISV Inventory'!$AU$6:$AU$255,0))&amp;"",""))</f>
        <v/>
      </c>
      <c r="G66" s="49" t="str">
        <f aca="false">IF($A66="","",IFERROR(INDEX('ISV Inventory'!$R$6:$R$255,MATCH(SMALL('ISV Inventory'!$AU$6:$AU$255,$A66),'ISV Inventory'!$AU$6:$AU$255,0)),""))</f>
        <v/>
      </c>
      <c r="H66" s="13" t="str">
        <f aca="false">IF($A66="","",IFERROR(INDEX('ISV Inventory'!$X$6:$X$255,MATCH(SMALL('ISV Inventory'!$AU$6:$AU$255,$A66),'ISV Inventory'!$AU$6:$AU$255,0))&amp;"",""))</f>
        <v/>
      </c>
      <c r="I66" s="47" t="str">
        <f aca="false">IF($A66="","",IFERROR(INDEX('ISV Inventory'!$Z$6:$Z$255,MATCH(SMALL('ISV Inventory'!$AU$6:$AU$255,$A66),'ISV Inventory'!$AU$6:$AU$255,0)),""))</f>
        <v/>
      </c>
      <c r="J66" s="13" t="str">
        <f aca="false">IF($A66="","",IFERROR(INDEX('ISV Inventory'!$AG$6:$AG$255,MATCH(SMALL('ISV Inventory'!$AU$6:$AU$255,$A66),'ISV Inventory'!$AU$6:$AU$255,0))&amp;"",""))</f>
        <v/>
      </c>
      <c r="K66" s="13" t="str">
        <f aca="false">IF($A66="","",IFERROR(INDEX('ISV Inventory'!$AK$6:$AK$255,MATCH(SMALL('ISV Inventory'!$AU$6:$AU$255,$A66),'ISV Inventory'!$AU$6:$AU$255,0))&amp;"",""))</f>
        <v/>
      </c>
      <c r="L66" s="13" t="str">
        <f aca="false">IF($A66="","",IFERROR(INDEX('ISV Inventory'!$AR$6:$AR$255,MATCH(SMALL('ISV Inventory'!$AU$6:$AU$255,$A66),'ISV Inventory'!$AU$6:$AU$255,0))&amp;"",""))</f>
        <v/>
      </c>
      <c r="M66" s="13" t="str">
        <f aca="false">IF($A66="","",IFERROR(INDEX('ISV Inventory'!$AS$6:$AS$255,MATCH(SMALL('ISV Inventory'!$AU$6:$AU$255,$A66),'ISV Inventory'!$AU$6:$AU$255,0))&amp;"",""))</f>
        <v/>
      </c>
    </row>
    <row r="67" customFormat="false" ht="15" hidden="false" customHeight="false" outlineLevel="0" collapsed="false">
      <c r="A67" s="13" t="str">
        <f aca="false">IF(COUNT('ISV Inventory'!$AU$6:$AU$255)&lt;63,"",63)</f>
        <v/>
      </c>
      <c r="B67" s="47" t="str">
        <f aca="false">IF($A67="","",IFERROR(INDEX('ISV Inventory'!$V$6:$V$255,MATCH(SMALL('ISV Inventory'!$AU$6:$AU$255,$A67),'ISV Inventory'!$AU$6:$AU$255,0)),""))</f>
        <v/>
      </c>
      <c r="C67" s="48" t="str">
        <f aca="false">IF($A67="","",IFERROR(INDEX('ISV Inventory'!$AA$6:$AA$255,MATCH(SMALL('ISV Inventory'!$AU$6:$AU$255,$A67),'ISV Inventory'!$AU$6:$AU$255,0)),""))</f>
        <v/>
      </c>
      <c r="D67" s="13" t="str">
        <f aca="false">IF($A67="","",IFERROR(INDEX('ISV Inventory'!$AB$6:$AB$255,MATCH(SMALL('ISV Inventory'!$AU$6:$AU$255,$A67),'ISV Inventory'!$AU$6:$AU$255,0))&amp;"",""))</f>
        <v/>
      </c>
      <c r="E67" s="13" t="str">
        <f aca="false">IF($A67="","",IFERROR(INDEX('ISV Inventory'!$B$6:$B$255,MATCH(SMALL('ISV Inventory'!$AU$6:$AU$255,$A67),'ISV Inventory'!$AU$6:$AU$255,0))&amp;"",""))</f>
        <v/>
      </c>
      <c r="F67" s="13" t="str">
        <f aca="false">IF($A67="","",IFERROR(INDEX('ISV Inventory'!$F$6:$F$255,MATCH(SMALL('ISV Inventory'!$AU$6:$AU$255,$A67),'ISV Inventory'!$AU$6:$AU$255,0))&amp;"",""))</f>
        <v/>
      </c>
      <c r="G67" s="49" t="str">
        <f aca="false">IF($A67="","",IFERROR(INDEX('ISV Inventory'!$R$6:$R$255,MATCH(SMALL('ISV Inventory'!$AU$6:$AU$255,$A67),'ISV Inventory'!$AU$6:$AU$255,0)),""))</f>
        <v/>
      </c>
      <c r="H67" s="13" t="str">
        <f aca="false">IF($A67="","",IFERROR(INDEX('ISV Inventory'!$X$6:$X$255,MATCH(SMALL('ISV Inventory'!$AU$6:$AU$255,$A67),'ISV Inventory'!$AU$6:$AU$255,0))&amp;"",""))</f>
        <v/>
      </c>
      <c r="I67" s="47" t="str">
        <f aca="false">IF($A67="","",IFERROR(INDEX('ISV Inventory'!$Z$6:$Z$255,MATCH(SMALL('ISV Inventory'!$AU$6:$AU$255,$A67),'ISV Inventory'!$AU$6:$AU$255,0)),""))</f>
        <v/>
      </c>
      <c r="J67" s="13" t="str">
        <f aca="false">IF($A67="","",IFERROR(INDEX('ISV Inventory'!$AG$6:$AG$255,MATCH(SMALL('ISV Inventory'!$AU$6:$AU$255,$A67),'ISV Inventory'!$AU$6:$AU$255,0))&amp;"",""))</f>
        <v/>
      </c>
      <c r="K67" s="13" t="str">
        <f aca="false">IF($A67="","",IFERROR(INDEX('ISV Inventory'!$AK$6:$AK$255,MATCH(SMALL('ISV Inventory'!$AU$6:$AU$255,$A67),'ISV Inventory'!$AU$6:$AU$255,0))&amp;"",""))</f>
        <v/>
      </c>
      <c r="L67" s="13" t="str">
        <f aca="false">IF($A67="","",IFERROR(INDEX('ISV Inventory'!$AR$6:$AR$255,MATCH(SMALL('ISV Inventory'!$AU$6:$AU$255,$A67),'ISV Inventory'!$AU$6:$AU$255,0))&amp;"",""))</f>
        <v/>
      </c>
      <c r="M67" s="13" t="str">
        <f aca="false">IF($A67="","",IFERROR(INDEX('ISV Inventory'!$AS$6:$AS$255,MATCH(SMALL('ISV Inventory'!$AU$6:$AU$255,$A67),'ISV Inventory'!$AU$6:$AU$255,0))&amp;"",""))</f>
        <v/>
      </c>
    </row>
    <row r="68" customFormat="false" ht="15" hidden="false" customHeight="false" outlineLevel="0" collapsed="false">
      <c r="A68" s="13" t="str">
        <f aca="false">IF(COUNT('ISV Inventory'!$AU$6:$AU$255)&lt;64,"",64)</f>
        <v/>
      </c>
      <c r="B68" s="47" t="str">
        <f aca="false">IF($A68="","",IFERROR(INDEX('ISV Inventory'!$V$6:$V$255,MATCH(SMALL('ISV Inventory'!$AU$6:$AU$255,$A68),'ISV Inventory'!$AU$6:$AU$255,0)),""))</f>
        <v/>
      </c>
      <c r="C68" s="48" t="str">
        <f aca="false">IF($A68="","",IFERROR(INDEX('ISV Inventory'!$AA$6:$AA$255,MATCH(SMALL('ISV Inventory'!$AU$6:$AU$255,$A68),'ISV Inventory'!$AU$6:$AU$255,0)),""))</f>
        <v/>
      </c>
      <c r="D68" s="13" t="str">
        <f aca="false">IF($A68="","",IFERROR(INDEX('ISV Inventory'!$AB$6:$AB$255,MATCH(SMALL('ISV Inventory'!$AU$6:$AU$255,$A68),'ISV Inventory'!$AU$6:$AU$255,0))&amp;"",""))</f>
        <v/>
      </c>
      <c r="E68" s="13" t="str">
        <f aca="false">IF($A68="","",IFERROR(INDEX('ISV Inventory'!$B$6:$B$255,MATCH(SMALL('ISV Inventory'!$AU$6:$AU$255,$A68),'ISV Inventory'!$AU$6:$AU$255,0))&amp;"",""))</f>
        <v/>
      </c>
      <c r="F68" s="13" t="str">
        <f aca="false">IF($A68="","",IFERROR(INDEX('ISV Inventory'!$F$6:$F$255,MATCH(SMALL('ISV Inventory'!$AU$6:$AU$255,$A68),'ISV Inventory'!$AU$6:$AU$255,0))&amp;"",""))</f>
        <v/>
      </c>
      <c r="G68" s="49" t="str">
        <f aca="false">IF($A68="","",IFERROR(INDEX('ISV Inventory'!$R$6:$R$255,MATCH(SMALL('ISV Inventory'!$AU$6:$AU$255,$A68),'ISV Inventory'!$AU$6:$AU$255,0)),""))</f>
        <v/>
      </c>
      <c r="H68" s="13" t="str">
        <f aca="false">IF($A68="","",IFERROR(INDEX('ISV Inventory'!$X$6:$X$255,MATCH(SMALL('ISV Inventory'!$AU$6:$AU$255,$A68),'ISV Inventory'!$AU$6:$AU$255,0))&amp;"",""))</f>
        <v/>
      </c>
      <c r="I68" s="47" t="str">
        <f aca="false">IF($A68="","",IFERROR(INDEX('ISV Inventory'!$Z$6:$Z$255,MATCH(SMALL('ISV Inventory'!$AU$6:$AU$255,$A68),'ISV Inventory'!$AU$6:$AU$255,0)),""))</f>
        <v/>
      </c>
      <c r="J68" s="13" t="str">
        <f aca="false">IF($A68="","",IFERROR(INDEX('ISV Inventory'!$AG$6:$AG$255,MATCH(SMALL('ISV Inventory'!$AU$6:$AU$255,$A68),'ISV Inventory'!$AU$6:$AU$255,0))&amp;"",""))</f>
        <v/>
      </c>
      <c r="K68" s="13" t="str">
        <f aca="false">IF($A68="","",IFERROR(INDEX('ISV Inventory'!$AK$6:$AK$255,MATCH(SMALL('ISV Inventory'!$AU$6:$AU$255,$A68),'ISV Inventory'!$AU$6:$AU$255,0))&amp;"",""))</f>
        <v/>
      </c>
      <c r="L68" s="13" t="str">
        <f aca="false">IF($A68="","",IFERROR(INDEX('ISV Inventory'!$AR$6:$AR$255,MATCH(SMALL('ISV Inventory'!$AU$6:$AU$255,$A68),'ISV Inventory'!$AU$6:$AU$255,0))&amp;"",""))</f>
        <v/>
      </c>
      <c r="M68" s="13" t="str">
        <f aca="false">IF($A68="","",IFERROR(INDEX('ISV Inventory'!$AS$6:$AS$255,MATCH(SMALL('ISV Inventory'!$AU$6:$AU$255,$A68),'ISV Inventory'!$AU$6:$AU$255,0))&amp;"",""))</f>
        <v/>
      </c>
    </row>
    <row r="69" customFormat="false" ht="15" hidden="false" customHeight="false" outlineLevel="0" collapsed="false">
      <c r="A69" s="13" t="str">
        <f aca="false">IF(COUNT('ISV Inventory'!$AU$6:$AU$255)&lt;65,"",65)</f>
        <v/>
      </c>
      <c r="B69" s="47" t="str">
        <f aca="false">IF($A69="","",IFERROR(INDEX('ISV Inventory'!$V$6:$V$255,MATCH(SMALL('ISV Inventory'!$AU$6:$AU$255,$A69),'ISV Inventory'!$AU$6:$AU$255,0)),""))</f>
        <v/>
      </c>
      <c r="C69" s="48" t="str">
        <f aca="false">IF($A69="","",IFERROR(INDEX('ISV Inventory'!$AA$6:$AA$255,MATCH(SMALL('ISV Inventory'!$AU$6:$AU$255,$A69),'ISV Inventory'!$AU$6:$AU$255,0)),""))</f>
        <v/>
      </c>
      <c r="D69" s="13" t="str">
        <f aca="false">IF($A69="","",IFERROR(INDEX('ISV Inventory'!$AB$6:$AB$255,MATCH(SMALL('ISV Inventory'!$AU$6:$AU$255,$A69),'ISV Inventory'!$AU$6:$AU$255,0))&amp;"",""))</f>
        <v/>
      </c>
      <c r="E69" s="13" t="str">
        <f aca="false">IF($A69="","",IFERROR(INDEX('ISV Inventory'!$B$6:$B$255,MATCH(SMALL('ISV Inventory'!$AU$6:$AU$255,$A69),'ISV Inventory'!$AU$6:$AU$255,0))&amp;"",""))</f>
        <v/>
      </c>
      <c r="F69" s="13" t="str">
        <f aca="false">IF($A69="","",IFERROR(INDEX('ISV Inventory'!$F$6:$F$255,MATCH(SMALL('ISV Inventory'!$AU$6:$AU$255,$A69),'ISV Inventory'!$AU$6:$AU$255,0))&amp;"",""))</f>
        <v/>
      </c>
      <c r="G69" s="49" t="str">
        <f aca="false">IF($A69="","",IFERROR(INDEX('ISV Inventory'!$R$6:$R$255,MATCH(SMALL('ISV Inventory'!$AU$6:$AU$255,$A69),'ISV Inventory'!$AU$6:$AU$255,0)),""))</f>
        <v/>
      </c>
      <c r="H69" s="13" t="str">
        <f aca="false">IF($A69="","",IFERROR(INDEX('ISV Inventory'!$X$6:$X$255,MATCH(SMALL('ISV Inventory'!$AU$6:$AU$255,$A69),'ISV Inventory'!$AU$6:$AU$255,0))&amp;"",""))</f>
        <v/>
      </c>
      <c r="I69" s="47" t="str">
        <f aca="false">IF($A69="","",IFERROR(INDEX('ISV Inventory'!$Z$6:$Z$255,MATCH(SMALL('ISV Inventory'!$AU$6:$AU$255,$A69),'ISV Inventory'!$AU$6:$AU$255,0)),""))</f>
        <v/>
      </c>
      <c r="J69" s="13" t="str">
        <f aca="false">IF($A69="","",IFERROR(INDEX('ISV Inventory'!$AG$6:$AG$255,MATCH(SMALL('ISV Inventory'!$AU$6:$AU$255,$A69),'ISV Inventory'!$AU$6:$AU$255,0))&amp;"",""))</f>
        <v/>
      </c>
      <c r="K69" s="13" t="str">
        <f aca="false">IF($A69="","",IFERROR(INDEX('ISV Inventory'!$AK$6:$AK$255,MATCH(SMALL('ISV Inventory'!$AU$6:$AU$255,$A69),'ISV Inventory'!$AU$6:$AU$255,0))&amp;"",""))</f>
        <v/>
      </c>
      <c r="L69" s="13" t="str">
        <f aca="false">IF($A69="","",IFERROR(INDEX('ISV Inventory'!$AR$6:$AR$255,MATCH(SMALL('ISV Inventory'!$AU$6:$AU$255,$A69),'ISV Inventory'!$AU$6:$AU$255,0))&amp;"",""))</f>
        <v/>
      </c>
      <c r="M69" s="13" t="str">
        <f aca="false">IF($A69="","",IFERROR(INDEX('ISV Inventory'!$AS$6:$AS$255,MATCH(SMALL('ISV Inventory'!$AU$6:$AU$255,$A69),'ISV Inventory'!$AU$6:$AU$255,0))&amp;"",""))</f>
        <v/>
      </c>
    </row>
    <row r="70" customFormat="false" ht="15" hidden="false" customHeight="false" outlineLevel="0" collapsed="false">
      <c r="A70" s="13" t="str">
        <f aca="false">IF(COUNT('ISV Inventory'!$AU$6:$AU$255)&lt;66,"",66)</f>
        <v/>
      </c>
      <c r="B70" s="47" t="str">
        <f aca="false">IF($A70="","",IFERROR(INDEX('ISV Inventory'!$V$6:$V$255,MATCH(SMALL('ISV Inventory'!$AU$6:$AU$255,$A70),'ISV Inventory'!$AU$6:$AU$255,0)),""))</f>
        <v/>
      </c>
      <c r="C70" s="48" t="str">
        <f aca="false">IF($A70="","",IFERROR(INDEX('ISV Inventory'!$AA$6:$AA$255,MATCH(SMALL('ISV Inventory'!$AU$6:$AU$255,$A70),'ISV Inventory'!$AU$6:$AU$255,0)),""))</f>
        <v/>
      </c>
      <c r="D70" s="13" t="str">
        <f aca="false">IF($A70="","",IFERROR(INDEX('ISV Inventory'!$AB$6:$AB$255,MATCH(SMALL('ISV Inventory'!$AU$6:$AU$255,$A70),'ISV Inventory'!$AU$6:$AU$255,0))&amp;"",""))</f>
        <v/>
      </c>
      <c r="E70" s="13" t="str">
        <f aca="false">IF($A70="","",IFERROR(INDEX('ISV Inventory'!$B$6:$B$255,MATCH(SMALL('ISV Inventory'!$AU$6:$AU$255,$A70),'ISV Inventory'!$AU$6:$AU$255,0))&amp;"",""))</f>
        <v/>
      </c>
      <c r="F70" s="13" t="str">
        <f aca="false">IF($A70="","",IFERROR(INDEX('ISV Inventory'!$F$6:$F$255,MATCH(SMALL('ISV Inventory'!$AU$6:$AU$255,$A70),'ISV Inventory'!$AU$6:$AU$255,0))&amp;"",""))</f>
        <v/>
      </c>
      <c r="G70" s="49" t="str">
        <f aca="false">IF($A70="","",IFERROR(INDEX('ISV Inventory'!$R$6:$R$255,MATCH(SMALL('ISV Inventory'!$AU$6:$AU$255,$A70),'ISV Inventory'!$AU$6:$AU$255,0)),""))</f>
        <v/>
      </c>
      <c r="H70" s="13" t="str">
        <f aca="false">IF($A70="","",IFERROR(INDEX('ISV Inventory'!$X$6:$X$255,MATCH(SMALL('ISV Inventory'!$AU$6:$AU$255,$A70),'ISV Inventory'!$AU$6:$AU$255,0))&amp;"",""))</f>
        <v/>
      </c>
      <c r="I70" s="47" t="str">
        <f aca="false">IF($A70="","",IFERROR(INDEX('ISV Inventory'!$Z$6:$Z$255,MATCH(SMALL('ISV Inventory'!$AU$6:$AU$255,$A70),'ISV Inventory'!$AU$6:$AU$255,0)),""))</f>
        <v/>
      </c>
      <c r="J70" s="13" t="str">
        <f aca="false">IF($A70="","",IFERROR(INDEX('ISV Inventory'!$AG$6:$AG$255,MATCH(SMALL('ISV Inventory'!$AU$6:$AU$255,$A70),'ISV Inventory'!$AU$6:$AU$255,0))&amp;"",""))</f>
        <v/>
      </c>
      <c r="K70" s="13" t="str">
        <f aca="false">IF($A70="","",IFERROR(INDEX('ISV Inventory'!$AK$6:$AK$255,MATCH(SMALL('ISV Inventory'!$AU$6:$AU$255,$A70),'ISV Inventory'!$AU$6:$AU$255,0))&amp;"",""))</f>
        <v/>
      </c>
      <c r="L70" s="13" t="str">
        <f aca="false">IF($A70="","",IFERROR(INDEX('ISV Inventory'!$AR$6:$AR$255,MATCH(SMALL('ISV Inventory'!$AU$6:$AU$255,$A70),'ISV Inventory'!$AU$6:$AU$255,0))&amp;"",""))</f>
        <v/>
      </c>
      <c r="M70" s="13" t="str">
        <f aca="false">IF($A70="","",IFERROR(INDEX('ISV Inventory'!$AS$6:$AS$255,MATCH(SMALL('ISV Inventory'!$AU$6:$AU$255,$A70),'ISV Inventory'!$AU$6:$AU$255,0))&amp;"",""))</f>
        <v/>
      </c>
    </row>
    <row r="71" customFormat="false" ht="15" hidden="false" customHeight="false" outlineLevel="0" collapsed="false">
      <c r="A71" s="13" t="str">
        <f aca="false">IF(COUNT('ISV Inventory'!$AU$6:$AU$255)&lt;67,"",67)</f>
        <v/>
      </c>
      <c r="B71" s="47" t="str">
        <f aca="false">IF($A71="","",IFERROR(INDEX('ISV Inventory'!$V$6:$V$255,MATCH(SMALL('ISV Inventory'!$AU$6:$AU$255,$A71),'ISV Inventory'!$AU$6:$AU$255,0)),""))</f>
        <v/>
      </c>
      <c r="C71" s="48" t="str">
        <f aca="false">IF($A71="","",IFERROR(INDEX('ISV Inventory'!$AA$6:$AA$255,MATCH(SMALL('ISV Inventory'!$AU$6:$AU$255,$A71),'ISV Inventory'!$AU$6:$AU$255,0)),""))</f>
        <v/>
      </c>
      <c r="D71" s="13" t="str">
        <f aca="false">IF($A71="","",IFERROR(INDEX('ISV Inventory'!$AB$6:$AB$255,MATCH(SMALL('ISV Inventory'!$AU$6:$AU$255,$A71),'ISV Inventory'!$AU$6:$AU$255,0))&amp;"",""))</f>
        <v/>
      </c>
      <c r="E71" s="13" t="str">
        <f aca="false">IF($A71="","",IFERROR(INDEX('ISV Inventory'!$B$6:$B$255,MATCH(SMALL('ISV Inventory'!$AU$6:$AU$255,$A71),'ISV Inventory'!$AU$6:$AU$255,0))&amp;"",""))</f>
        <v/>
      </c>
      <c r="F71" s="13" t="str">
        <f aca="false">IF($A71="","",IFERROR(INDEX('ISV Inventory'!$F$6:$F$255,MATCH(SMALL('ISV Inventory'!$AU$6:$AU$255,$A71),'ISV Inventory'!$AU$6:$AU$255,0))&amp;"",""))</f>
        <v/>
      </c>
      <c r="G71" s="49" t="str">
        <f aca="false">IF($A71="","",IFERROR(INDEX('ISV Inventory'!$R$6:$R$255,MATCH(SMALL('ISV Inventory'!$AU$6:$AU$255,$A71),'ISV Inventory'!$AU$6:$AU$255,0)),""))</f>
        <v/>
      </c>
      <c r="H71" s="13" t="str">
        <f aca="false">IF($A71="","",IFERROR(INDEX('ISV Inventory'!$X$6:$X$255,MATCH(SMALL('ISV Inventory'!$AU$6:$AU$255,$A71),'ISV Inventory'!$AU$6:$AU$255,0))&amp;"",""))</f>
        <v/>
      </c>
      <c r="I71" s="47" t="str">
        <f aca="false">IF($A71="","",IFERROR(INDEX('ISV Inventory'!$Z$6:$Z$255,MATCH(SMALL('ISV Inventory'!$AU$6:$AU$255,$A71),'ISV Inventory'!$AU$6:$AU$255,0)),""))</f>
        <v/>
      </c>
      <c r="J71" s="13" t="str">
        <f aca="false">IF($A71="","",IFERROR(INDEX('ISV Inventory'!$AG$6:$AG$255,MATCH(SMALL('ISV Inventory'!$AU$6:$AU$255,$A71),'ISV Inventory'!$AU$6:$AU$255,0))&amp;"",""))</f>
        <v/>
      </c>
      <c r="K71" s="13" t="str">
        <f aca="false">IF($A71="","",IFERROR(INDEX('ISV Inventory'!$AK$6:$AK$255,MATCH(SMALL('ISV Inventory'!$AU$6:$AU$255,$A71),'ISV Inventory'!$AU$6:$AU$255,0))&amp;"",""))</f>
        <v/>
      </c>
      <c r="L71" s="13" t="str">
        <f aca="false">IF($A71="","",IFERROR(INDEX('ISV Inventory'!$AR$6:$AR$255,MATCH(SMALL('ISV Inventory'!$AU$6:$AU$255,$A71),'ISV Inventory'!$AU$6:$AU$255,0))&amp;"",""))</f>
        <v/>
      </c>
      <c r="M71" s="13" t="str">
        <f aca="false">IF($A71="","",IFERROR(INDEX('ISV Inventory'!$AS$6:$AS$255,MATCH(SMALL('ISV Inventory'!$AU$6:$AU$255,$A71),'ISV Inventory'!$AU$6:$AU$255,0))&amp;"",""))</f>
        <v/>
      </c>
    </row>
    <row r="72" customFormat="false" ht="15" hidden="false" customHeight="false" outlineLevel="0" collapsed="false">
      <c r="A72" s="13" t="str">
        <f aca="false">IF(COUNT('ISV Inventory'!$AU$6:$AU$255)&lt;68,"",68)</f>
        <v/>
      </c>
      <c r="B72" s="47" t="str">
        <f aca="false">IF($A72="","",IFERROR(INDEX('ISV Inventory'!$V$6:$V$255,MATCH(SMALL('ISV Inventory'!$AU$6:$AU$255,$A72),'ISV Inventory'!$AU$6:$AU$255,0)),""))</f>
        <v/>
      </c>
      <c r="C72" s="48" t="str">
        <f aca="false">IF($A72="","",IFERROR(INDEX('ISV Inventory'!$AA$6:$AA$255,MATCH(SMALL('ISV Inventory'!$AU$6:$AU$255,$A72),'ISV Inventory'!$AU$6:$AU$255,0)),""))</f>
        <v/>
      </c>
      <c r="D72" s="13" t="str">
        <f aca="false">IF($A72="","",IFERROR(INDEX('ISV Inventory'!$AB$6:$AB$255,MATCH(SMALL('ISV Inventory'!$AU$6:$AU$255,$A72),'ISV Inventory'!$AU$6:$AU$255,0))&amp;"",""))</f>
        <v/>
      </c>
      <c r="E72" s="13" t="str">
        <f aca="false">IF($A72="","",IFERROR(INDEX('ISV Inventory'!$B$6:$B$255,MATCH(SMALL('ISV Inventory'!$AU$6:$AU$255,$A72),'ISV Inventory'!$AU$6:$AU$255,0))&amp;"",""))</f>
        <v/>
      </c>
      <c r="F72" s="13" t="str">
        <f aca="false">IF($A72="","",IFERROR(INDEX('ISV Inventory'!$F$6:$F$255,MATCH(SMALL('ISV Inventory'!$AU$6:$AU$255,$A72),'ISV Inventory'!$AU$6:$AU$255,0))&amp;"",""))</f>
        <v/>
      </c>
      <c r="G72" s="49" t="str">
        <f aca="false">IF($A72="","",IFERROR(INDEX('ISV Inventory'!$R$6:$R$255,MATCH(SMALL('ISV Inventory'!$AU$6:$AU$255,$A72),'ISV Inventory'!$AU$6:$AU$255,0)),""))</f>
        <v/>
      </c>
      <c r="H72" s="13" t="str">
        <f aca="false">IF($A72="","",IFERROR(INDEX('ISV Inventory'!$X$6:$X$255,MATCH(SMALL('ISV Inventory'!$AU$6:$AU$255,$A72),'ISV Inventory'!$AU$6:$AU$255,0))&amp;"",""))</f>
        <v/>
      </c>
      <c r="I72" s="47" t="str">
        <f aca="false">IF($A72="","",IFERROR(INDEX('ISV Inventory'!$Z$6:$Z$255,MATCH(SMALL('ISV Inventory'!$AU$6:$AU$255,$A72),'ISV Inventory'!$AU$6:$AU$255,0)),""))</f>
        <v/>
      </c>
      <c r="J72" s="13" t="str">
        <f aca="false">IF($A72="","",IFERROR(INDEX('ISV Inventory'!$AG$6:$AG$255,MATCH(SMALL('ISV Inventory'!$AU$6:$AU$255,$A72),'ISV Inventory'!$AU$6:$AU$255,0))&amp;"",""))</f>
        <v/>
      </c>
      <c r="K72" s="13" t="str">
        <f aca="false">IF($A72="","",IFERROR(INDEX('ISV Inventory'!$AK$6:$AK$255,MATCH(SMALL('ISV Inventory'!$AU$6:$AU$255,$A72),'ISV Inventory'!$AU$6:$AU$255,0))&amp;"",""))</f>
        <v/>
      </c>
      <c r="L72" s="13" t="str">
        <f aca="false">IF($A72="","",IFERROR(INDEX('ISV Inventory'!$AR$6:$AR$255,MATCH(SMALL('ISV Inventory'!$AU$6:$AU$255,$A72),'ISV Inventory'!$AU$6:$AU$255,0))&amp;"",""))</f>
        <v/>
      </c>
      <c r="M72" s="13" t="str">
        <f aca="false">IF($A72="","",IFERROR(INDEX('ISV Inventory'!$AS$6:$AS$255,MATCH(SMALL('ISV Inventory'!$AU$6:$AU$255,$A72),'ISV Inventory'!$AU$6:$AU$255,0))&amp;"",""))</f>
        <v/>
      </c>
    </row>
    <row r="73" customFormat="false" ht="15" hidden="false" customHeight="false" outlineLevel="0" collapsed="false">
      <c r="A73" s="13" t="str">
        <f aca="false">IF(COUNT('ISV Inventory'!$AU$6:$AU$255)&lt;69,"",69)</f>
        <v/>
      </c>
      <c r="B73" s="47" t="str">
        <f aca="false">IF($A73="","",IFERROR(INDEX('ISV Inventory'!$V$6:$V$255,MATCH(SMALL('ISV Inventory'!$AU$6:$AU$255,$A73),'ISV Inventory'!$AU$6:$AU$255,0)),""))</f>
        <v/>
      </c>
      <c r="C73" s="48" t="str">
        <f aca="false">IF($A73="","",IFERROR(INDEX('ISV Inventory'!$AA$6:$AA$255,MATCH(SMALL('ISV Inventory'!$AU$6:$AU$255,$A73),'ISV Inventory'!$AU$6:$AU$255,0)),""))</f>
        <v/>
      </c>
      <c r="D73" s="13" t="str">
        <f aca="false">IF($A73="","",IFERROR(INDEX('ISV Inventory'!$AB$6:$AB$255,MATCH(SMALL('ISV Inventory'!$AU$6:$AU$255,$A73),'ISV Inventory'!$AU$6:$AU$255,0))&amp;"",""))</f>
        <v/>
      </c>
      <c r="E73" s="13" t="str">
        <f aca="false">IF($A73="","",IFERROR(INDEX('ISV Inventory'!$B$6:$B$255,MATCH(SMALL('ISV Inventory'!$AU$6:$AU$255,$A73),'ISV Inventory'!$AU$6:$AU$255,0))&amp;"",""))</f>
        <v/>
      </c>
      <c r="F73" s="13" t="str">
        <f aca="false">IF($A73="","",IFERROR(INDEX('ISV Inventory'!$F$6:$F$255,MATCH(SMALL('ISV Inventory'!$AU$6:$AU$255,$A73),'ISV Inventory'!$AU$6:$AU$255,0))&amp;"",""))</f>
        <v/>
      </c>
      <c r="G73" s="49" t="str">
        <f aca="false">IF($A73="","",IFERROR(INDEX('ISV Inventory'!$R$6:$R$255,MATCH(SMALL('ISV Inventory'!$AU$6:$AU$255,$A73),'ISV Inventory'!$AU$6:$AU$255,0)),""))</f>
        <v/>
      </c>
      <c r="H73" s="13" t="str">
        <f aca="false">IF($A73="","",IFERROR(INDEX('ISV Inventory'!$X$6:$X$255,MATCH(SMALL('ISV Inventory'!$AU$6:$AU$255,$A73),'ISV Inventory'!$AU$6:$AU$255,0))&amp;"",""))</f>
        <v/>
      </c>
      <c r="I73" s="47" t="str">
        <f aca="false">IF($A73="","",IFERROR(INDEX('ISV Inventory'!$Z$6:$Z$255,MATCH(SMALL('ISV Inventory'!$AU$6:$AU$255,$A73),'ISV Inventory'!$AU$6:$AU$255,0)),""))</f>
        <v/>
      </c>
      <c r="J73" s="13" t="str">
        <f aca="false">IF($A73="","",IFERROR(INDEX('ISV Inventory'!$AG$6:$AG$255,MATCH(SMALL('ISV Inventory'!$AU$6:$AU$255,$A73),'ISV Inventory'!$AU$6:$AU$255,0))&amp;"",""))</f>
        <v/>
      </c>
      <c r="K73" s="13" t="str">
        <f aca="false">IF($A73="","",IFERROR(INDEX('ISV Inventory'!$AK$6:$AK$255,MATCH(SMALL('ISV Inventory'!$AU$6:$AU$255,$A73),'ISV Inventory'!$AU$6:$AU$255,0))&amp;"",""))</f>
        <v/>
      </c>
      <c r="L73" s="13" t="str">
        <f aca="false">IF($A73="","",IFERROR(INDEX('ISV Inventory'!$AR$6:$AR$255,MATCH(SMALL('ISV Inventory'!$AU$6:$AU$255,$A73),'ISV Inventory'!$AU$6:$AU$255,0))&amp;"",""))</f>
        <v/>
      </c>
      <c r="M73" s="13" t="str">
        <f aca="false">IF($A73="","",IFERROR(INDEX('ISV Inventory'!$AS$6:$AS$255,MATCH(SMALL('ISV Inventory'!$AU$6:$AU$255,$A73),'ISV Inventory'!$AU$6:$AU$255,0))&amp;"",""))</f>
        <v/>
      </c>
    </row>
    <row r="74" customFormat="false" ht="15" hidden="false" customHeight="false" outlineLevel="0" collapsed="false">
      <c r="A74" s="13" t="str">
        <f aca="false">IF(COUNT('ISV Inventory'!$AU$6:$AU$255)&lt;70,"",70)</f>
        <v/>
      </c>
      <c r="B74" s="47" t="str">
        <f aca="false">IF($A74="","",IFERROR(INDEX('ISV Inventory'!$V$6:$V$255,MATCH(SMALL('ISV Inventory'!$AU$6:$AU$255,$A74),'ISV Inventory'!$AU$6:$AU$255,0)),""))</f>
        <v/>
      </c>
      <c r="C74" s="48" t="str">
        <f aca="false">IF($A74="","",IFERROR(INDEX('ISV Inventory'!$AA$6:$AA$255,MATCH(SMALL('ISV Inventory'!$AU$6:$AU$255,$A74),'ISV Inventory'!$AU$6:$AU$255,0)),""))</f>
        <v/>
      </c>
      <c r="D74" s="13" t="str">
        <f aca="false">IF($A74="","",IFERROR(INDEX('ISV Inventory'!$AB$6:$AB$255,MATCH(SMALL('ISV Inventory'!$AU$6:$AU$255,$A74),'ISV Inventory'!$AU$6:$AU$255,0))&amp;"",""))</f>
        <v/>
      </c>
      <c r="E74" s="13" t="str">
        <f aca="false">IF($A74="","",IFERROR(INDEX('ISV Inventory'!$B$6:$B$255,MATCH(SMALL('ISV Inventory'!$AU$6:$AU$255,$A74),'ISV Inventory'!$AU$6:$AU$255,0))&amp;"",""))</f>
        <v/>
      </c>
      <c r="F74" s="13" t="str">
        <f aca="false">IF($A74="","",IFERROR(INDEX('ISV Inventory'!$F$6:$F$255,MATCH(SMALL('ISV Inventory'!$AU$6:$AU$255,$A74),'ISV Inventory'!$AU$6:$AU$255,0))&amp;"",""))</f>
        <v/>
      </c>
      <c r="G74" s="49" t="str">
        <f aca="false">IF($A74="","",IFERROR(INDEX('ISV Inventory'!$R$6:$R$255,MATCH(SMALL('ISV Inventory'!$AU$6:$AU$255,$A74),'ISV Inventory'!$AU$6:$AU$255,0)),""))</f>
        <v/>
      </c>
      <c r="H74" s="13" t="str">
        <f aca="false">IF($A74="","",IFERROR(INDEX('ISV Inventory'!$X$6:$X$255,MATCH(SMALL('ISV Inventory'!$AU$6:$AU$255,$A74),'ISV Inventory'!$AU$6:$AU$255,0))&amp;"",""))</f>
        <v/>
      </c>
      <c r="I74" s="47" t="str">
        <f aca="false">IF($A74="","",IFERROR(INDEX('ISV Inventory'!$Z$6:$Z$255,MATCH(SMALL('ISV Inventory'!$AU$6:$AU$255,$A74),'ISV Inventory'!$AU$6:$AU$255,0)),""))</f>
        <v/>
      </c>
      <c r="J74" s="13" t="str">
        <f aca="false">IF($A74="","",IFERROR(INDEX('ISV Inventory'!$AG$6:$AG$255,MATCH(SMALL('ISV Inventory'!$AU$6:$AU$255,$A74),'ISV Inventory'!$AU$6:$AU$255,0))&amp;"",""))</f>
        <v/>
      </c>
      <c r="K74" s="13" t="str">
        <f aca="false">IF($A74="","",IFERROR(INDEX('ISV Inventory'!$AK$6:$AK$255,MATCH(SMALL('ISV Inventory'!$AU$6:$AU$255,$A74),'ISV Inventory'!$AU$6:$AU$255,0))&amp;"",""))</f>
        <v/>
      </c>
      <c r="L74" s="13" t="str">
        <f aca="false">IF($A74="","",IFERROR(INDEX('ISV Inventory'!$AR$6:$AR$255,MATCH(SMALL('ISV Inventory'!$AU$6:$AU$255,$A74),'ISV Inventory'!$AU$6:$AU$255,0))&amp;"",""))</f>
        <v/>
      </c>
      <c r="M74" s="13" t="str">
        <f aca="false">IF($A74="","",IFERROR(INDEX('ISV Inventory'!$AS$6:$AS$255,MATCH(SMALL('ISV Inventory'!$AU$6:$AU$255,$A74),'ISV Inventory'!$AU$6:$AU$255,0))&amp;"",""))</f>
        <v/>
      </c>
    </row>
    <row r="75" customFormat="false" ht="15" hidden="false" customHeight="false" outlineLevel="0" collapsed="false">
      <c r="A75" s="13" t="str">
        <f aca="false">IF(COUNT('ISV Inventory'!$AU$6:$AU$255)&lt;71,"",71)</f>
        <v/>
      </c>
      <c r="B75" s="47" t="str">
        <f aca="false">IF($A75="","",IFERROR(INDEX('ISV Inventory'!$V$6:$V$255,MATCH(SMALL('ISV Inventory'!$AU$6:$AU$255,$A75),'ISV Inventory'!$AU$6:$AU$255,0)),""))</f>
        <v/>
      </c>
      <c r="C75" s="48" t="str">
        <f aca="false">IF($A75="","",IFERROR(INDEX('ISV Inventory'!$AA$6:$AA$255,MATCH(SMALL('ISV Inventory'!$AU$6:$AU$255,$A75),'ISV Inventory'!$AU$6:$AU$255,0)),""))</f>
        <v/>
      </c>
      <c r="D75" s="13" t="str">
        <f aca="false">IF($A75="","",IFERROR(INDEX('ISV Inventory'!$AB$6:$AB$255,MATCH(SMALL('ISV Inventory'!$AU$6:$AU$255,$A75),'ISV Inventory'!$AU$6:$AU$255,0))&amp;"",""))</f>
        <v/>
      </c>
      <c r="E75" s="13" t="str">
        <f aca="false">IF($A75="","",IFERROR(INDEX('ISV Inventory'!$B$6:$B$255,MATCH(SMALL('ISV Inventory'!$AU$6:$AU$255,$A75),'ISV Inventory'!$AU$6:$AU$255,0))&amp;"",""))</f>
        <v/>
      </c>
      <c r="F75" s="13" t="str">
        <f aca="false">IF($A75="","",IFERROR(INDEX('ISV Inventory'!$F$6:$F$255,MATCH(SMALL('ISV Inventory'!$AU$6:$AU$255,$A75),'ISV Inventory'!$AU$6:$AU$255,0))&amp;"",""))</f>
        <v/>
      </c>
      <c r="G75" s="49" t="str">
        <f aca="false">IF($A75="","",IFERROR(INDEX('ISV Inventory'!$R$6:$R$255,MATCH(SMALL('ISV Inventory'!$AU$6:$AU$255,$A75),'ISV Inventory'!$AU$6:$AU$255,0)),""))</f>
        <v/>
      </c>
      <c r="H75" s="13" t="str">
        <f aca="false">IF($A75="","",IFERROR(INDEX('ISV Inventory'!$X$6:$X$255,MATCH(SMALL('ISV Inventory'!$AU$6:$AU$255,$A75),'ISV Inventory'!$AU$6:$AU$255,0))&amp;"",""))</f>
        <v/>
      </c>
      <c r="I75" s="47" t="str">
        <f aca="false">IF($A75="","",IFERROR(INDEX('ISV Inventory'!$Z$6:$Z$255,MATCH(SMALL('ISV Inventory'!$AU$6:$AU$255,$A75),'ISV Inventory'!$AU$6:$AU$255,0)),""))</f>
        <v/>
      </c>
      <c r="J75" s="13" t="str">
        <f aca="false">IF($A75="","",IFERROR(INDEX('ISV Inventory'!$AG$6:$AG$255,MATCH(SMALL('ISV Inventory'!$AU$6:$AU$255,$A75),'ISV Inventory'!$AU$6:$AU$255,0))&amp;"",""))</f>
        <v/>
      </c>
      <c r="K75" s="13" t="str">
        <f aca="false">IF($A75="","",IFERROR(INDEX('ISV Inventory'!$AK$6:$AK$255,MATCH(SMALL('ISV Inventory'!$AU$6:$AU$255,$A75),'ISV Inventory'!$AU$6:$AU$255,0))&amp;"",""))</f>
        <v/>
      </c>
      <c r="L75" s="13" t="str">
        <f aca="false">IF($A75="","",IFERROR(INDEX('ISV Inventory'!$AR$6:$AR$255,MATCH(SMALL('ISV Inventory'!$AU$6:$AU$255,$A75),'ISV Inventory'!$AU$6:$AU$255,0))&amp;"",""))</f>
        <v/>
      </c>
      <c r="M75" s="13" t="str">
        <f aca="false">IF($A75="","",IFERROR(INDEX('ISV Inventory'!$AS$6:$AS$255,MATCH(SMALL('ISV Inventory'!$AU$6:$AU$255,$A75),'ISV Inventory'!$AU$6:$AU$255,0))&amp;"",""))</f>
        <v/>
      </c>
    </row>
    <row r="76" customFormat="false" ht="15" hidden="false" customHeight="false" outlineLevel="0" collapsed="false">
      <c r="A76" s="13" t="str">
        <f aca="false">IF(COUNT('ISV Inventory'!$AU$6:$AU$255)&lt;72,"",72)</f>
        <v/>
      </c>
      <c r="B76" s="47" t="str">
        <f aca="false">IF($A76="","",IFERROR(INDEX('ISV Inventory'!$V$6:$V$255,MATCH(SMALL('ISV Inventory'!$AU$6:$AU$255,$A76),'ISV Inventory'!$AU$6:$AU$255,0)),""))</f>
        <v/>
      </c>
      <c r="C76" s="48" t="str">
        <f aca="false">IF($A76="","",IFERROR(INDEX('ISV Inventory'!$AA$6:$AA$255,MATCH(SMALL('ISV Inventory'!$AU$6:$AU$255,$A76),'ISV Inventory'!$AU$6:$AU$255,0)),""))</f>
        <v/>
      </c>
      <c r="D76" s="13" t="str">
        <f aca="false">IF($A76="","",IFERROR(INDEX('ISV Inventory'!$AB$6:$AB$255,MATCH(SMALL('ISV Inventory'!$AU$6:$AU$255,$A76),'ISV Inventory'!$AU$6:$AU$255,0))&amp;"",""))</f>
        <v/>
      </c>
      <c r="E76" s="13" t="str">
        <f aca="false">IF($A76="","",IFERROR(INDEX('ISV Inventory'!$B$6:$B$255,MATCH(SMALL('ISV Inventory'!$AU$6:$AU$255,$A76),'ISV Inventory'!$AU$6:$AU$255,0))&amp;"",""))</f>
        <v/>
      </c>
      <c r="F76" s="13" t="str">
        <f aca="false">IF($A76="","",IFERROR(INDEX('ISV Inventory'!$F$6:$F$255,MATCH(SMALL('ISV Inventory'!$AU$6:$AU$255,$A76),'ISV Inventory'!$AU$6:$AU$255,0))&amp;"",""))</f>
        <v/>
      </c>
      <c r="G76" s="49" t="str">
        <f aca="false">IF($A76="","",IFERROR(INDEX('ISV Inventory'!$R$6:$R$255,MATCH(SMALL('ISV Inventory'!$AU$6:$AU$255,$A76),'ISV Inventory'!$AU$6:$AU$255,0)),""))</f>
        <v/>
      </c>
      <c r="H76" s="13" t="str">
        <f aca="false">IF($A76="","",IFERROR(INDEX('ISV Inventory'!$X$6:$X$255,MATCH(SMALL('ISV Inventory'!$AU$6:$AU$255,$A76),'ISV Inventory'!$AU$6:$AU$255,0))&amp;"",""))</f>
        <v/>
      </c>
      <c r="I76" s="47" t="str">
        <f aca="false">IF($A76="","",IFERROR(INDEX('ISV Inventory'!$Z$6:$Z$255,MATCH(SMALL('ISV Inventory'!$AU$6:$AU$255,$A76),'ISV Inventory'!$AU$6:$AU$255,0)),""))</f>
        <v/>
      </c>
      <c r="J76" s="13" t="str">
        <f aca="false">IF($A76="","",IFERROR(INDEX('ISV Inventory'!$AG$6:$AG$255,MATCH(SMALL('ISV Inventory'!$AU$6:$AU$255,$A76),'ISV Inventory'!$AU$6:$AU$255,0))&amp;"",""))</f>
        <v/>
      </c>
      <c r="K76" s="13" t="str">
        <f aca="false">IF($A76="","",IFERROR(INDEX('ISV Inventory'!$AK$6:$AK$255,MATCH(SMALL('ISV Inventory'!$AU$6:$AU$255,$A76),'ISV Inventory'!$AU$6:$AU$255,0))&amp;"",""))</f>
        <v/>
      </c>
      <c r="L76" s="13" t="str">
        <f aca="false">IF($A76="","",IFERROR(INDEX('ISV Inventory'!$AR$6:$AR$255,MATCH(SMALL('ISV Inventory'!$AU$6:$AU$255,$A76),'ISV Inventory'!$AU$6:$AU$255,0))&amp;"",""))</f>
        <v/>
      </c>
      <c r="M76" s="13" t="str">
        <f aca="false">IF($A76="","",IFERROR(INDEX('ISV Inventory'!$AS$6:$AS$255,MATCH(SMALL('ISV Inventory'!$AU$6:$AU$255,$A76),'ISV Inventory'!$AU$6:$AU$255,0))&amp;"",""))</f>
        <v/>
      </c>
    </row>
    <row r="77" customFormat="false" ht="15" hidden="false" customHeight="false" outlineLevel="0" collapsed="false">
      <c r="A77" s="13" t="str">
        <f aca="false">IF(COUNT('ISV Inventory'!$AU$6:$AU$255)&lt;73,"",73)</f>
        <v/>
      </c>
      <c r="B77" s="47" t="str">
        <f aca="false">IF($A77="","",IFERROR(INDEX('ISV Inventory'!$V$6:$V$255,MATCH(SMALL('ISV Inventory'!$AU$6:$AU$255,$A77),'ISV Inventory'!$AU$6:$AU$255,0)),""))</f>
        <v/>
      </c>
      <c r="C77" s="48" t="str">
        <f aca="false">IF($A77="","",IFERROR(INDEX('ISV Inventory'!$AA$6:$AA$255,MATCH(SMALL('ISV Inventory'!$AU$6:$AU$255,$A77),'ISV Inventory'!$AU$6:$AU$255,0)),""))</f>
        <v/>
      </c>
      <c r="D77" s="13" t="str">
        <f aca="false">IF($A77="","",IFERROR(INDEX('ISV Inventory'!$AB$6:$AB$255,MATCH(SMALL('ISV Inventory'!$AU$6:$AU$255,$A77),'ISV Inventory'!$AU$6:$AU$255,0))&amp;"",""))</f>
        <v/>
      </c>
      <c r="E77" s="13" t="str">
        <f aca="false">IF($A77="","",IFERROR(INDEX('ISV Inventory'!$B$6:$B$255,MATCH(SMALL('ISV Inventory'!$AU$6:$AU$255,$A77),'ISV Inventory'!$AU$6:$AU$255,0))&amp;"",""))</f>
        <v/>
      </c>
      <c r="F77" s="13" t="str">
        <f aca="false">IF($A77="","",IFERROR(INDEX('ISV Inventory'!$F$6:$F$255,MATCH(SMALL('ISV Inventory'!$AU$6:$AU$255,$A77),'ISV Inventory'!$AU$6:$AU$255,0))&amp;"",""))</f>
        <v/>
      </c>
      <c r="G77" s="49" t="str">
        <f aca="false">IF($A77="","",IFERROR(INDEX('ISV Inventory'!$R$6:$R$255,MATCH(SMALL('ISV Inventory'!$AU$6:$AU$255,$A77),'ISV Inventory'!$AU$6:$AU$255,0)),""))</f>
        <v/>
      </c>
      <c r="H77" s="13" t="str">
        <f aca="false">IF($A77="","",IFERROR(INDEX('ISV Inventory'!$X$6:$X$255,MATCH(SMALL('ISV Inventory'!$AU$6:$AU$255,$A77),'ISV Inventory'!$AU$6:$AU$255,0))&amp;"",""))</f>
        <v/>
      </c>
      <c r="I77" s="47" t="str">
        <f aca="false">IF($A77="","",IFERROR(INDEX('ISV Inventory'!$Z$6:$Z$255,MATCH(SMALL('ISV Inventory'!$AU$6:$AU$255,$A77),'ISV Inventory'!$AU$6:$AU$255,0)),""))</f>
        <v/>
      </c>
      <c r="J77" s="13" t="str">
        <f aca="false">IF($A77="","",IFERROR(INDEX('ISV Inventory'!$AG$6:$AG$255,MATCH(SMALL('ISV Inventory'!$AU$6:$AU$255,$A77),'ISV Inventory'!$AU$6:$AU$255,0))&amp;"",""))</f>
        <v/>
      </c>
      <c r="K77" s="13" t="str">
        <f aca="false">IF($A77="","",IFERROR(INDEX('ISV Inventory'!$AK$6:$AK$255,MATCH(SMALL('ISV Inventory'!$AU$6:$AU$255,$A77),'ISV Inventory'!$AU$6:$AU$255,0))&amp;"",""))</f>
        <v/>
      </c>
      <c r="L77" s="13" t="str">
        <f aca="false">IF($A77="","",IFERROR(INDEX('ISV Inventory'!$AR$6:$AR$255,MATCH(SMALL('ISV Inventory'!$AU$6:$AU$255,$A77),'ISV Inventory'!$AU$6:$AU$255,0))&amp;"",""))</f>
        <v/>
      </c>
      <c r="M77" s="13" t="str">
        <f aca="false">IF($A77="","",IFERROR(INDEX('ISV Inventory'!$AS$6:$AS$255,MATCH(SMALL('ISV Inventory'!$AU$6:$AU$255,$A77),'ISV Inventory'!$AU$6:$AU$255,0))&amp;"",""))</f>
        <v/>
      </c>
    </row>
    <row r="78" customFormat="false" ht="15" hidden="false" customHeight="false" outlineLevel="0" collapsed="false">
      <c r="A78" s="13" t="str">
        <f aca="false">IF(COUNT('ISV Inventory'!$AU$6:$AU$255)&lt;74,"",74)</f>
        <v/>
      </c>
      <c r="B78" s="47" t="str">
        <f aca="false">IF($A78="","",IFERROR(INDEX('ISV Inventory'!$V$6:$V$255,MATCH(SMALL('ISV Inventory'!$AU$6:$AU$255,$A78),'ISV Inventory'!$AU$6:$AU$255,0)),""))</f>
        <v/>
      </c>
      <c r="C78" s="48" t="str">
        <f aca="false">IF($A78="","",IFERROR(INDEX('ISV Inventory'!$AA$6:$AA$255,MATCH(SMALL('ISV Inventory'!$AU$6:$AU$255,$A78),'ISV Inventory'!$AU$6:$AU$255,0)),""))</f>
        <v/>
      </c>
      <c r="D78" s="13" t="str">
        <f aca="false">IF($A78="","",IFERROR(INDEX('ISV Inventory'!$AB$6:$AB$255,MATCH(SMALL('ISV Inventory'!$AU$6:$AU$255,$A78),'ISV Inventory'!$AU$6:$AU$255,0))&amp;"",""))</f>
        <v/>
      </c>
      <c r="E78" s="13" t="str">
        <f aca="false">IF($A78="","",IFERROR(INDEX('ISV Inventory'!$B$6:$B$255,MATCH(SMALL('ISV Inventory'!$AU$6:$AU$255,$A78),'ISV Inventory'!$AU$6:$AU$255,0))&amp;"",""))</f>
        <v/>
      </c>
      <c r="F78" s="13" t="str">
        <f aca="false">IF($A78="","",IFERROR(INDEX('ISV Inventory'!$F$6:$F$255,MATCH(SMALL('ISV Inventory'!$AU$6:$AU$255,$A78),'ISV Inventory'!$AU$6:$AU$255,0))&amp;"",""))</f>
        <v/>
      </c>
      <c r="G78" s="49" t="str">
        <f aca="false">IF($A78="","",IFERROR(INDEX('ISV Inventory'!$R$6:$R$255,MATCH(SMALL('ISV Inventory'!$AU$6:$AU$255,$A78),'ISV Inventory'!$AU$6:$AU$255,0)),""))</f>
        <v/>
      </c>
      <c r="H78" s="13" t="str">
        <f aca="false">IF($A78="","",IFERROR(INDEX('ISV Inventory'!$X$6:$X$255,MATCH(SMALL('ISV Inventory'!$AU$6:$AU$255,$A78),'ISV Inventory'!$AU$6:$AU$255,0))&amp;"",""))</f>
        <v/>
      </c>
      <c r="I78" s="47" t="str">
        <f aca="false">IF($A78="","",IFERROR(INDEX('ISV Inventory'!$Z$6:$Z$255,MATCH(SMALL('ISV Inventory'!$AU$6:$AU$255,$A78),'ISV Inventory'!$AU$6:$AU$255,0)),""))</f>
        <v/>
      </c>
      <c r="J78" s="13" t="str">
        <f aca="false">IF($A78="","",IFERROR(INDEX('ISV Inventory'!$AG$6:$AG$255,MATCH(SMALL('ISV Inventory'!$AU$6:$AU$255,$A78),'ISV Inventory'!$AU$6:$AU$255,0))&amp;"",""))</f>
        <v/>
      </c>
      <c r="K78" s="13" t="str">
        <f aca="false">IF($A78="","",IFERROR(INDEX('ISV Inventory'!$AK$6:$AK$255,MATCH(SMALL('ISV Inventory'!$AU$6:$AU$255,$A78),'ISV Inventory'!$AU$6:$AU$255,0))&amp;"",""))</f>
        <v/>
      </c>
      <c r="L78" s="13" t="str">
        <f aca="false">IF($A78="","",IFERROR(INDEX('ISV Inventory'!$AR$6:$AR$255,MATCH(SMALL('ISV Inventory'!$AU$6:$AU$255,$A78),'ISV Inventory'!$AU$6:$AU$255,0))&amp;"",""))</f>
        <v/>
      </c>
      <c r="M78" s="13" t="str">
        <f aca="false">IF($A78="","",IFERROR(INDEX('ISV Inventory'!$AS$6:$AS$255,MATCH(SMALL('ISV Inventory'!$AU$6:$AU$255,$A78),'ISV Inventory'!$AU$6:$AU$255,0))&amp;"",""))</f>
        <v/>
      </c>
    </row>
    <row r="79" customFormat="false" ht="15" hidden="false" customHeight="false" outlineLevel="0" collapsed="false">
      <c r="A79" s="13" t="str">
        <f aca="false">IF(COUNT('ISV Inventory'!$AU$6:$AU$255)&lt;75,"",75)</f>
        <v/>
      </c>
      <c r="B79" s="47" t="str">
        <f aca="false">IF($A79="","",IFERROR(INDEX('ISV Inventory'!$V$6:$V$255,MATCH(SMALL('ISV Inventory'!$AU$6:$AU$255,$A79),'ISV Inventory'!$AU$6:$AU$255,0)),""))</f>
        <v/>
      </c>
      <c r="C79" s="48" t="str">
        <f aca="false">IF($A79="","",IFERROR(INDEX('ISV Inventory'!$AA$6:$AA$255,MATCH(SMALL('ISV Inventory'!$AU$6:$AU$255,$A79),'ISV Inventory'!$AU$6:$AU$255,0)),""))</f>
        <v/>
      </c>
      <c r="D79" s="13" t="str">
        <f aca="false">IF($A79="","",IFERROR(INDEX('ISV Inventory'!$AB$6:$AB$255,MATCH(SMALL('ISV Inventory'!$AU$6:$AU$255,$A79),'ISV Inventory'!$AU$6:$AU$255,0))&amp;"",""))</f>
        <v/>
      </c>
      <c r="E79" s="13" t="str">
        <f aca="false">IF($A79="","",IFERROR(INDEX('ISV Inventory'!$B$6:$B$255,MATCH(SMALL('ISV Inventory'!$AU$6:$AU$255,$A79),'ISV Inventory'!$AU$6:$AU$255,0))&amp;"",""))</f>
        <v/>
      </c>
      <c r="F79" s="13" t="str">
        <f aca="false">IF($A79="","",IFERROR(INDEX('ISV Inventory'!$F$6:$F$255,MATCH(SMALL('ISV Inventory'!$AU$6:$AU$255,$A79),'ISV Inventory'!$AU$6:$AU$255,0))&amp;"",""))</f>
        <v/>
      </c>
      <c r="G79" s="49" t="str">
        <f aca="false">IF($A79="","",IFERROR(INDEX('ISV Inventory'!$R$6:$R$255,MATCH(SMALL('ISV Inventory'!$AU$6:$AU$255,$A79),'ISV Inventory'!$AU$6:$AU$255,0)),""))</f>
        <v/>
      </c>
      <c r="H79" s="13" t="str">
        <f aca="false">IF($A79="","",IFERROR(INDEX('ISV Inventory'!$X$6:$X$255,MATCH(SMALL('ISV Inventory'!$AU$6:$AU$255,$A79),'ISV Inventory'!$AU$6:$AU$255,0))&amp;"",""))</f>
        <v/>
      </c>
      <c r="I79" s="47" t="str">
        <f aca="false">IF($A79="","",IFERROR(INDEX('ISV Inventory'!$Z$6:$Z$255,MATCH(SMALL('ISV Inventory'!$AU$6:$AU$255,$A79),'ISV Inventory'!$AU$6:$AU$255,0)),""))</f>
        <v/>
      </c>
      <c r="J79" s="13" t="str">
        <f aca="false">IF($A79="","",IFERROR(INDEX('ISV Inventory'!$AG$6:$AG$255,MATCH(SMALL('ISV Inventory'!$AU$6:$AU$255,$A79),'ISV Inventory'!$AU$6:$AU$255,0))&amp;"",""))</f>
        <v/>
      </c>
      <c r="K79" s="13" t="str">
        <f aca="false">IF($A79="","",IFERROR(INDEX('ISV Inventory'!$AK$6:$AK$255,MATCH(SMALL('ISV Inventory'!$AU$6:$AU$255,$A79),'ISV Inventory'!$AU$6:$AU$255,0))&amp;"",""))</f>
        <v/>
      </c>
      <c r="L79" s="13" t="str">
        <f aca="false">IF($A79="","",IFERROR(INDEX('ISV Inventory'!$AR$6:$AR$255,MATCH(SMALL('ISV Inventory'!$AU$6:$AU$255,$A79),'ISV Inventory'!$AU$6:$AU$255,0))&amp;"",""))</f>
        <v/>
      </c>
      <c r="M79" s="13" t="str">
        <f aca="false">IF($A79="","",IFERROR(INDEX('ISV Inventory'!$AS$6:$AS$255,MATCH(SMALL('ISV Inventory'!$AU$6:$AU$255,$A79),'ISV Inventory'!$AU$6:$AU$255,0))&amp;"",""))</f>
        <v/>
      </c>
    </row>
    <row r="80" customFormat="false" ht="15" hidden="false" customHeight="false" outlineLevel="0" collapsed="false">
      <c r="A80" s="13" t="str">
        <f aca="false">IF(COUNT('ISV Inventory'!$AU$6:$AU$255)&lt;76,"",76)</f>
        <v/>
      </c>
      <c r="B80" s="47" t="str">
        <f aca="false">IF($A80="","",IFERROR(INDEX('ISV Inventory'!$V$6:$V$255,MATCH(SMALL('ISV Inventory'!$AU$6:$AU$255,$A80),'ISV Inventory'!$AU$6:$AU$255,0)),""))</f>
        <v/>
      </c>
      <c r="C80" s="48" t="str">
        <f aca="false">IF($A80="","",IFERROR(INDEX('ISV Inventory'!$AA$6:$AA$255,MATCH(SMALL('ISV Inventory'!$AU$6:$AU$255,$A80),'ISV Inventory'!$AU$6:$AU$255,0)),""))</f>
        <v/>
      </c>
      <c r="D80" s="13" t="str">
        <f aca="false">IF($A80="","",IFERROR(INDEX('ISV Inventory'!$AB$6:$AB$255,MATCH(SMALL('ISV Inventory'!$AU$6:$AU$255,$A80),'ISV Inventory'!$AU$6:$AU$255,0))&amp;"",""))</f>
        <v/>
      </c>
      <c r="E80" s="13" t="str">
        <f aca="false">IF($A80="","",IFERROR(INDEX('ISV Inventory'!$B$6:$B$255,MATCH(SMALL('ISV Inventory'!$AU$6:$AU$255,$A80),'ISV Inventory'!$AU$6:$AU$255,0))&amp;"",""))</f>
        <v/>
      </c>
      <c r="F80" s="13" t="str">
        <f aca="false">IF($A80="","",IFERROR(INDEX('ISV Inventory'!$F$6:$F$255,MATCH(SMALL('ISV Inventory'!$AU$6:$AU$255,$A80),'ISV Inventory'!$AU$6:$AU$255,0))&amp;"",""))</f>
        <v/>
      </c>
      <c r="G80" s="49" t="str">
        <f aca="false">IF($A80="","",IFERROR(INDEX('ISV Inventory'!$R$6:$R$255,MATCH(SMALL('ISV Inventory'!$AU$6:$AU$255,$A80),'ISV Inventory'!$AU$6:$AU$255,0)),""))</f>
        <v/>
      </c>
      <c r="H80" s="13" t="str">
        <f aca="false">IF($A80="","",IFERROR(INDEX('ISV Inventory'!$X$6:$X$255,MATCH(SMALL('ISV Inventory'!$AU$6:$AU$255,$A80),'ISV Inventory'!$AU$6:$AU$255,0))&amp;"",""))</f>
        <v/>
      </c>
      <c r="I80" s="47" t="str">
        <f aca="false">IF($A80="","",IFERROR(INDEX('ISV Inventory'!$Z$6:$Z$255,MATCH(SMALL('ISV Inventory'!$AU$6:$AU$255,$A80),'ISV Inventory'!$AU$6:$AU$255,0)),""))</f>
        <v/>
      </c>
      <c r="J80" s="13" t="str">
        <f aca="false">IF($A80="","",IFERROR(INDEX('ISV Inventory'!$AG$6:$AG$255,MATCH(SMALL('ISV Inventory'!$AU$6:$AU$255,$A80),'ISV Inventory'!$AU$6:$AU$255,0))&amp;"",""))</f>
        <v/>
      </c>
      <c r="K80" s="13" t="str">
        <f aca="false">IF($A80="","",IFERROR(INDEX('ISV Inventory'!$AK$6:$AK$255,MATCH(SMALL('ISV Inventory'!$AU$6:$AU$255,$A80),'ISV Inventory'!$AU$6:$AU$255,0))&amp;"",""))</f>
        <v/>
      </c>
      <c r="L80" s="13" t="str">
        <f aca="false">IF($A80="","",IFERROR(INDEX('ISV Inventory'!$AR$6:$AR$255,MATCH(SMALL('ISV Inventory'!$AU$6:$AU$255,$A80),'ISV Inventory'!$AU$6:$AU$255,0))&amp;"",""))</f>
        <v/>
      </c>
      <c r="M80" s="13" t="str">
        <f aca="false">IF($A80="","",IFERROR(INDEX('ISV Inventory'!$AS$6:$AS$255,MATCH(SMALL('ISV Inventory'!$AU$6:$AU$255,$A80),'ISV Inventory'!$AU$6:$AU$255,0))&amp;"",""))</f>
        <v/>
      </c>
    </row>
    <row r="81" customFormat="false" ht="15" hidden="false" customHeight="false" outlineLevel="0" collapsed="false">
      <c r="A81" s="13" t="str">
        <f aca="false">IF(COUNT('ISV Inventory'!$AU$6:$AU$255)&lt;77,"",77)</f>
        <v/>
      </c>
      <c r="B81" s="47" t="str">
        <f aca="false">IF($A81="","",IFERROR(INDEX('ISV Inventory'!$V$6:$V$255,MATCH(SMALL('ISV Inventory'!$AU$6:$AU$255,$A81),'ISV Inventory'!$AU$6:$AU$255,0)),""))</f>
        <v/>
      </c>
      <c r="C81" s="48" t="str">
        <f aca="false">IF($A81="","",IFERROR(INDEX('ISV Inventory'!$AA$6:$AA$255,MATCH(SMALL('ISV Inventory'!$AU$6:$AU$255,$A81),'ISV Inventory'!$AU$6:$AU$255,0)),""))</f>
        <v/>
      </c>
      <c r="D81" s="13" t="str">
        <f aca="false">IF($A81="","",IFERROR(INDEX('ISV Inventory'!$AB$6:$AB$255,MATCH(SMALL('ISV Inventory'!$AU$6:$AU$255,$A81),'ISV Inventory'!$AU$6:$AU$255,0))&amp;"",""))</f>
        <v/>
      </c>
      <c r="E81" s="13" t="str">
        <f aca="false">IF($A81="","",IFERROR(INDEX('ISV Inventory'!$B$6:$B$255,MATCH(SMALL('ISV Inventory'!$AU$6:$AU$255,$A81),'ISV Inventory'!$AU$6:$AU$255,0))&amp;"",""))</f>
        <v/>
      </c>
      <c r="F81" s="13" t="str">
        <f aca="false">IF($A81="","",IFERROR(INDEX('ISV Inventory'!$F$6:$F$255,MATCH(SMALL('ISV Inventory'!$AU$6:$AU$255,$A81),'ISV Inventory'!$AU$6:$AU$255,0))&amp;"",""))</f>
        <v/>
      </c>
      <c r="G81" s="49" t="str">
        <f aca="false">IF($A81="","",IFERROR(INDEX('ISV Inventory'!$R$6:$R$255,MATCH(SMALL('ISV Inventory'!$AU$6:$AU$255,$A81),'ISV Inventory'!$AU$6:$AU$255,0)),""))</f>
        <v/>
      </c>
      <c r="H81" s="13" t="str">
        <f aca="false">IF($A81="","",IFERROR(INDEX('ISV Inventory'!$X$6:$X$255,MATCH(SMALL('ISV Inventory'!$AU$6:$AU$255,$A81),'ISV Inventory'!$AU$6:$AU$255,0))&amp;"",""))</f>
        <v/>
      </c>
      <c r="I81" s="47" t="str">
        <f aca="false">IF($A81="","",IFERROR(INDEX('ISV Inventory'!$Z$6:$Z$255,MATCH(SMALL('ISV Inventory'!$AU$6:$AU$255,$A81),'ISV Inventory'!$AU$6:$AU$255,0)),""))</f>
        <v/>
      </c>
      <c r="J81" s="13" t="str">
        <f aca="false">IF($A81="","",IFERROR(INDEX('ISV Inventory'!$AG$6:$AG$255,MATCH(SMALL('ISV Inventory'!$AU$6:$AU$255,$A81),'ISV Inventory'!$AU$6:$AU$255,0))&amp;"",""))</f>
        <v/>
      </c>
      <c r="K81" s="13" t="str">
        <f aca="false">IF($A81="","",IFERROR(INDEX('ISV Inventory'!$AK$6:$AK$255,MATCH(SMALL('ISV Inventory'!$AU$6:$AU$255,$A81),'ISV Inventory'!$AU$6:$AU$255,0))&amp;"",""))</f>
        <v/>
      </c>
      <c r="L81" s="13" t="str">
        <f aca="false">IF($A81="","",IFERROR(INDEX('ISV Inventory'!$AR$6:$AR$255,MATCH(SMALL('ISV Inventory'!$AU$6:$AU$255,$A81),'ISV Inventory'!$AU$6:$AU$255,0))&amp;"",""))</f>
        <v/>
      </c>
      <c r="M81" s="13" t="str">
        <f aca="false">IF($A81="","",IFERROR(INDEX('ISV Inventory'!$AS$6:$AS$255,MATCH(SMALL('ISV Inventory'!$AU$6:$AU$255,$A81),'ISV Inventory'!$AU$6:$AU$255,0))&amp;"",""))</f>
        <v/>
      </c>
    </row>
    <row r="82" customFormat="false" ht="15" hidden="false" customHeight="false" outlineLevel="0" collapsed="false">
      <c r="A82" s="13" t="str">
        <f aca="false">IF(COUNT('ISV Inventory'!$AU$6:$AU$255)&lt;78,"",78)</f>
        <v/>
      </c>
      <c r="B82" s="47" t="str">
        <f aca="false">IF($A82="","",IFERROR(INDEX('ISV Inventory'!$V$6:$V$255,MATCH(SMALL('ISV Inventory'!$AU$6:$AU$255,$A82),'ISV Inventory'!$AU$6:$AU$255,0)),""))</f>
        <v/>
      </c>
      <c r="C82" s="48" t="str">
        <f aca="false">IF($A82="","",IFERROR(INDEX('ISV Inventory'!$AA$6:$AA$255,MATCH(SMALL('ISV Inventory'!$AU$6:$AU$255,$A82),'ISV Inventory'!$AU$6:$AU$255,0)),""))</f>
        <v/>
      </c>
      <c r="D82" s="13" t="str">
        <f aca="false">IF($A82="","",IFERROR(INDEX('ISV Inventory'!$AB$6:$AB$255,MATCH(SMALL('ISV Inventory'!$AU$6:$AU$255,$A82),'ISV Inventory'!$AU$6:$AU$255,0))&amp;"",""))</f>
        <v/>
      </c>
      <c r="E82" s="13" t="str">
        <f aca="false">IF($A82="","",IFERROR(INDEX('ISV Inventory'!$B$6:$B$255,MATCH(SMALL('ISV Inventory'!$AU$6:$AU$255,$A82),'ISV Inventory'!$AU$6:$AU$255,0))&amp;"",""))</f>
        <v/>
      </c>
      <c r="F82" s="13" t="str">
        <f aca="false">IF($A82="","",IFERROR(INDEX('ISV Inventory'!$F$6:$F$255,MATCH(SMALL('ISV Inventory'!$AU$6:$AU$255,$A82),'ISV Inventory'!$AU$6:$AU$255,0))&amp;"",""))</f>
        <v/>
      </c>
      <c r="G82" s="49" t="str">
        <f aca="false">IF($A82="","",IFERROR(INDEX('ISV Inventory'!$R$6:$R$255,MATCH(SMALL('ISV Inventory'!$AU$6:$AU$255,$A82),'ISV Inventory'!$AU$6:$AU$255,0)),""))</f>
        <v/>
      </c>
      <c r="H82" s="13" t="str">
        <f aca="false">IF($A82="","",IFERROR(INDEX('ISV Inventory'!$X$6:$X$255,MATCH(SMALL('ISV Inventory'!$AU$6:$AU$255,$A82),'ISV Inventory'!$AU$6:$AU$255,0))&amp;"",""))</f>
        <v/>
      </c>
      <c r="I82" s="47" t="str">
        <f aca="false">IF($A82="","",IFERROR(INDEX('ISV Inventory'!$Z$6:$Z$255,MATCH(SMALL('ISV Inventory'!$AU$6:$AU$255,$A82),'ISV Inventory'!$AU$6:$AU$255,0)),""))</f>
        <v/>
      </c>
      <c r="J82" s="13" t="str">
        <f aca="false">IF($A82="","",IFERROR(INDEX('ISV Inventory'!$AG$6:$AG$255,MATCH(SMALL('ISV Inventory'!$AU$6:$AU$255,$A82),'ISV Inventory'!$AU$6:$AU$255,0))&amp;"",""))</f>
        <v/>
      </c>
      <c r="K82" s="13" t="str">
        <f aca="false">IF($A82="","",IFERROR(INDEX('ISV Inventory'!$AK$6:$AK$255,MATCH(SMALL('ISV Inventory'!$AU$6:$AU$255,$A82),'ISV Inventory'!$AU$6:$AU$255,0))&amp;"",""))</f>
        <v/>
      </c>
      <c r="L82" s="13" t="str">
        <f aca="false">IF($A82="","",IFERROR(INDEX('ISV Inventory'!$AR$6:$AR$255,MATCH(SMALL('ISV Inventory'!$AU$6:$AU$255,$A82),'ISV Inventory'!$AU$6:$AU$255,0))&amp;"",""))</f>
        <v/>
      </c>
      <c r="M82" s="13" t="str">
        <f aca="false">IF($A82="","",IFERROR(INDEX('ISV Inventory'!$AS$6:$AS$255,MATCH(SMALL('ISV Inventory'!$AU$6:$AU$255,$A82),'ISV Inventory'!$AU$6:$AU$255,0))&amp;"",""))</f>
        <v/>
      </c>
    </row>
    <row r="83" customFormat="false" ht="15" hidden="false" customHeight="false" outlineLevel="0" collapsed="false">
      <c r="A83" s="13" t="str">
        <f aca="false">IF(COUNT('ISV Inventory'!$AU$6:$AU$255)&lt;79,"",79)</f>
        <v/>
      </c>
      <c r="B83" s="47" t="str">
        <f aca="false">IF($A83="","",IFERROR(INDEX('ISV Inventory'!$V$6:$V$255,MATCH(SMALL('ISV Inventory'!$AU$6:$AU$255,$A83),'ISV Inventory'!$AU$6:$AU$255,0)),""))</f>
        <v/>
      </c>
      <c r="C83" s="48" t="str">
        <f aca="false">IF($A83="","",IFERROR(INDEX('ISV Inventory'!$AA$6:$AA$255,MATCH(SMALL('ISV Inventory'!$AU$6:$AU$255,$A83),'ISV Inventory'!$AU$6:$AU$255,0)),""))</f>
        <v/>
      </c>
      <c r="D83" s="13" t="str">
        <f aca="false">IF($A83="","",IFERROR(INDEX('ISV Inventory'!$AB$6:$AB$255,MATCH(SMALL('ISV Inventory'!$AU$6:$AU$255,$A83),'ISV Inventory'!$AU$6:$AU$255,0))&amp;"",""))</f>
        <v/>
      </c>
      <c r="E83" s="13" t="str">
        <f aca="false">IF($A83="","",IFERROR(INDEX('ISV Inventory'!$B$6:$B$255,MATCH(SMALL('ISV Inventory'!$AU$6:$AU$255,$A83),'ISV Inventory'!$AU$6:$AU$255,0))&amp;"",""))</f>
        <v/>
      </c>
      <c r="F83" s="13" t="str">
        <f aca="false">IF($A83="","",IFERROR(INDEX('ISV Inventory'!$F$6:$F$255,MATCH(SMALL('ISV Inventory'!$AU$6:$AU$255,$A83),'ISV Inventory'!$AU$6:$AU$255,0))&amp;"",""))</f>
        <v/>
      </c>
      <c r="G83" s="49" t="str">
        <f aca="false">IF($A83="","",IFERROR(INDEX('ISV Inventory'!$R$6:$R$255,MATCH(SMALL('ISV Inventory'!$AU$6:$AU$255,$A83),'ISV Inventory'!$AU$6:$AU$255,0)),""))</f>
        <v/>
      </c>
      <c r="H83" s="13" t="str">
        <f aca="false">IF($A83="","",IFERROR(INDEX('ISV Inventory'!$X$6:$X$255,MATCH(SMALL('ISV Inventory'!$AU$6:$AU$255,$A83),'ISV Inventory'!$AU$6:$AU$255,0))&amp;"",""))</f>
        <v/>
      </c>
      <c r="I83" s="47" t="str">
        <f aca="false">IF($A83="","",IFERROR(INDEX('ISV Inventory'!$Z$6:$Z$255,MATCH(SMALL('ISV Inventory'!$AU$6:$AU$255,$A83),'ISV Inventory'!$AU$6:$AU$255,0)),""))</f>
        <v/>
      </c>
      <c r="J83" s="13" t="str">
        <f aca="false">IF($A83="","",IFERROR(INDEX('ISV Inventory'!$AG$6:$AG$255,MATCH(SMALL('ISV Inventory'!$AU$6:$AU$255,$A83),'ISV Inventory'!$AU$6:$AU$255,0))&amp;"",""))</f>
        <v/>
      </c>
      <c r="K83" s="13" t="str">
        <f aca="false">IF($A83="","",IFERROR(INDEX('ISV Inventory'!$AK$6:$AK$255,MATCH(SMALL('ISV Inventory'!$AU$6:$AU$255,$A83),'ISV Inventory'!$AU$6:$AU$255,0))&amp;"",""))</f>
        <v/>
      </c>
      <c r="L83" s="13" t="str">
        <f aca="false">IF($A83="","",IFERROR(INDEX('ISV Inventory'!$AR$6:$AR$255,MATCH(SMALL('ISV Inventory'!$AU$6:$AU$255,$A83),'ISV Inventory'!$AU$6:$AU$255,0))&amp;"",""))</f>
        <v/>
      </c>
      <c r="M83" s="13" t="str">
        <f aca="false">IF($A83="","",IFERROR(INDEX('ISV Inventory'!$AS$6:$AS$255,MATCH(SMALL('ISV Inventory'!$AU$6:$AU$255,$A83),'ISV Inventory'!$AU$6:$AU$255,0))&amp;"",""))</f>
        <v/>
      </c>
    </row>
    <row r="84" customFormat="false" ht="15" hidden="false" customHeight="false" outlineLevel="0" collapsed="false">
      <c r="A84" s="13" t="str">
        <f aca="false">IF(COUNT('ISV Inventory'!$AU$6:$AU$255)&lt;80,"",80)</f>
        <v/>
      </c>
      <c r="B84" s="47" t="str">
        <f aca="false">IF($A84="","",IFERROR(INDEX('ISV Inventory'!$V$6:$V$255,MATCH(SMALL('ISV Inventory'!$AU$6:$AU$255,$A84),'ISV Inventory'!$AU$6:$AU$255,0)),""))</f>
        <v/>
      </c>
      <c r="C84" s="48" t="str">
        <f aca="false">IF($A84="","",IFERROR(INDEX('ISV Inventory'!$AA$6:$AA$255,MATCH(SMALL('ISV Inventory'!$AU$6:$AU$255,$A84),'ISV Inventory'!$AU$6:$AU$255,0)),""))</f>
        <v/>
      </c>
      <c r="D84" s="13" t="str">
        <f aca="false">IF($A84="","",IFERROR(INDEX('ISV Inventory'!$AB$6:$AB$255,MATCH(SMALL('ISV Inventory'!$AU$6:$AU$255,$A84),'ISV Inventory'!$AU$6:$AU$255,0))&amp;"",""))</f>
        <v/>
      </c>
      <c r="E84" s="13" t="str">
        <f aca="false">IF($A84="","",IFERROR(INDEX('ISV Inventory'!$B$6:$B$255,MATCH(SMALL('ISV Inventory'!$AU$6:$AU$255,$A84),'ISV Inventory'!$AU$6:$AU$255,0))&amp;"",""))</f>
        <v/>
      </c>
      <c r="F84" s="13" t="str">
        <f aca="false">IF($A84="","",IFERROR(INDEX('ISV Inventory'!$F$6:$F$255,MATCH(SMALL('ISV Inventory'!$AU$6:$AU$255,$A84),'ISV Inventory'!$AU$6:$AU$255,0))&amp;"",""))</f>
        <v/>
      </c>
      <c r="G84" s="49" t="str">
        <f aca="false">IF($A84="","",IFERROR(INDEX('ISV Inventory'!$R$6:$R$255,MATCH(SMALL('ISV Inventory'!$AU$6:$AU$255,$A84),'ISV Inventory'!$AU$6:$AU$255,0)),""))</f>
        <v/>
      </c>
      <c r="H84" s="13" t="str">
        <f aca="false">IF($A84="","",IFERROR(INDEX('ISV Inventory'!$X$6:$X$255,MATCH(SMALL('ISV Inventory'!$AU$6:$AU$255,$A84),'ISV Inventory'!$AU$6:$AU$255,0))&amp;"",""))</f>
        <v/>
      </c>
      <c r="I84" s="47" t="str">
        <f aca="false">IF($A84="","",IFERROR(INDEX('ISV Inventory'!$Z$6:$Z$255,MATCH(SMALL('ISV Inventory'!$AU$6:$AU$255,$A84),'ISV Inventory'!$AU$6:$AU$255,0)),""))</f>
        <v/>
      </c>
      <c r="J84" s="13" t="str">
        <f aca="false">IF($A84="","",IFERROR(INDEX('ISV Inventory'!$AG$6:$AG$255,MATCH(SMALL('ISV Inventory'!$AU$6:$AU$255,$A84),'ISV Inventory'!$AU$6:$AU$255,0))&amp;"",""))</f>
        <v/>
      </c>
      <c r="K84" s="13" t="str">
        <f aca="false">IF($A84="","",IFERROR(INDEX('ISV Inventory'!$AK$6:$AK$255,MATCH(SMALL('ISV Inventory'!$AU$6:$AU$255,$A84),'ISV Inventory'!$AU$6:$AU$255,0))&amp;"",""))</f>
        <v/>
      </c>
      <c r="L84" s="13" t="str">
        <f aca="false">IF($A84="","",IFERROR(INDEX('ISV Inventory'!$AR$6:$AR$255,MATCH(SMALL('ISV Inventory'!$AU$6:$AU$255,$A84),'ISV Inventory'!$AU$6:$AU$255,0))&amp;"",""))</f>
        <v/>
      </c>
      <c r="M84" s="13" t="str">
        <f aca="false">IF($A84="","",IFERROR(INDEX('ISV Inventory'!$AS$6:$AS$255,MATCH(SMALL('ISV Inventory'!$AU$6:$AU$255,$A84),'ISV Inventory'!$AU$6:$AU$255,0))&amp;"",""))</f>
        <v/>
      </c>
    </row>
    <row r="85" customFormat="false" ht="15" hidden="false" customHeight="false" outlineLevel="0" collapsed="false">
      <c r="A85" s="13" t="str">
        <f aca="false">IF(COUNT('ISV Inventory'!$AU$6:$AU$255)&lt;81,"",81)</f>
        <v/>
      </c>
      <c r="B85" s="47" t="str">
        <f aca="false">IF($A85="","",IFERROR(INDEX('ISV Inventory'!$V$6:$V$255,MATCH(SMALL('ISV Inventory'!$AU$6:$AU$255,$A85),'ISV Inventory'!$AU$6:$AU$255,0)),""))</f>
        <v/>
      </c>
      <c r="C85" s="48" t="str">
        <f aca="false">IF($A85="","",IFERROR(INDEX('ISV Inventory'!$AA$6:$AA$255,MATCH(SMALL('ISV Inventory'!$AU$6:$AU$255,$A85),'ISV Inventory'!$AU$6:$AU$255,0)),""))</f>
        <v/>
      </c>
      <c r="D85" s="13" t="str">
        <f aca="false">IF($A85="","",IFERROR(INDEX('ISV Inventory'!$AB$6:$AB$255,MATCH(SMALL('ISV Inventory'!$AU$6:$AU$255,$A85),'ISV Inventory'!$AU$6:$AU$255,0))&amp;"",""))</f>
        <v/>
      </c>
      <c r="E85" s="13" t="str">
        <f aca="false">IF($A85="","",IFERROR(INDEX('ISV Inventory'!$B$6:$B$255,MATCH(SMALL('ISV Inventory'!$AU$6:$AU$255,$A85),'ISV Inventory'!$AU$6:$AU$255,0))&amp;"",""))</f>
        <v/>
      </c>
      <c r="F85" s="13" t="str">
        <f aca="false">IF($A85="","",IFERROR(INDEX('ISV Inventory'!$F$6:$F$255,MATCH(SMALL('ISV Inventory'!$AU$6:$AU$255,$A85),'ISV Inventory'!$AU$6:$AU$255,0))&amp;"",""))</f>
        <v/>
      </c>
      <c r="G85" s="49" t="str">
        <f aca="false">IF($A85="","",IFERROR(INDEX('ISV Inventory'!$R$6:$R$255,MATCH(SMALL('ISV Inventory'!$AU$6:$AU$255,$A85),'ISV Inventory'!$AU$6:$AU$255,0)),""))</f>
        <v/>
      </c>
      <c r="H85" s="13" t="str">
        <f aca="false">IF($A85="","",IFERROR(INDEX('ISV Inventory'!$X$6:$X$255,MATCH(SMALL('ISV Inventory'!$AU$6:$AU$255,$A85),'ISV Inventory'!$AU$6:$AU$255,0))&amp;"",""))</f>
        <v/>
      </c>
      <c r="I85" s="47" t="str">
        <f aca="false">IF($A85="","",IFERROR(INDEX('ISV Inventory'!$Z$6:$Z$255,MATCH(SMALL('ISV Inventory'!$AU$6:$AU$255,$A85),'ISV Inventory'!$AU$6:$AU$255,0)),""))</f>
        <v/>
      </c>
      <c r="J85" s="13" t="str">
        <f aca="false">IF($A85="","",IFERROR(INDEX('ISV Inventory'!$AG$6:$AG$255,MATCH(SMALL('ISV Inventory'!$AU$6:$AU$255,$A85),'ISV Inventory'!$AU$6:$AU$255,0))&amp;"",""))</f>
        <v/>
      </c>
      <c r="K85" s="13" t="str">
        <f aca="false">IF($A85="","",IFERROR(INDEX('ISV Inventory'!$AK$6:$AK$255,MATCH(SMALL('ISV Inventory'!$AU$6:$AU$255,$A85),'ISV Inventory'!$AU$6:$AU$255,0))&amp;"",""))</f>
        <v/>
      </c>
      <c r="L85" s="13" t="str">
        <f aca="false">IF($A85="","",IFERROR(INDEX('ISV Inventory'!$AR$6:$AR$255,MATCH(SMALL('ISV Inventory'!$AU$6:$AU$255,$A85),'ISV Inventory'!$AU$6:$AU$255,0))&amp;"",""))</f>
        <v/>
      </c>
      <c r="M85" s="13" t="str">
        <f aca="false">IF($A85="","",IFERROR(INDEX('ISV Inventory'!$AS$6:$AS$255,MATCH(SMALL('ISV Inventory'!$AU$6:$AU$255,$A85),'ISV Inventory'!$AU$6:$AU$255,0))&amp;"",""))</f>
        <v/>
      </c>
    </row>
    <row r="86" customFormat="false" ht="15" hidden="false" customHeight="false" outlineLevel="0" collapsed="false">
      <c r="A86" s="13" t="str">
        <f aca="false">IF(COUNT('ISV Inventory'!$AU$6:$AU$255)&lt;82,"",82)</f>
        <v/>
      </c>
      <c r="B86" s="47" t="str">
        <f aca="false">IF($A86="","",IFERROR(INDEX('ISV Inventory'!$V$6:$V$255,MATCH(SMALL('ISV Inventory'!$AU$6:$AU$255,$A86),'ISV Inventory'!$AU$6:$AU$255,0)),""))</f>
        <v/>
      </c>
      <c r="C86" s="48" t="str">
        <f aca="false">IF($A86="","",IFERROR(INDEX('ISV Inventory'!$AA$6:$AA$255,MATCH(SMALL('ISV Inventory'!$AU$6:$AU$255,$A86),'ISV Inventory'!$AU$6:$AU$255,0)),""))</f>
        <v/>
      </c>
      <c r="D86" s="13" t="str">
        <f aca="false">IF($A86="","",IFERROR(INDEX('ISV Inventory'!$AB$6:$AB$255,MATCH(SMALL('ISV Inventory'!$AU$6:$AU$255,$A86),'ISV Inventory'!$AU$6:$AU$255,0))&amp;"",""))</f>
        <v/>
      </c>
      <c r="E86" s="13" t="str">
        <f aca="false">IF($A86="","",IFERROR(INDEX('ISV Inventory'!$B$6:$B$255,MATCH(SMALL('ISV Inventory'!$AU$6:$AU$255,$A86),'ISV Inventory'!$AU$6:$AU$255,0))&amp;"",""))</f>
        <v/>
      </c>
      <c r="F86" s="13" t="str">
        <f aca="false">IF($A86="","",IFERROR(INDEX('ISV Inventory'!$F$6:$F$255,MATCH(SMALL('ISV Inventory'!$AU$6:$AU$255,$A86),'ISV Inventory'!$AU$6:$AU$255,0))&amp;"",""))</f>
        <v/>
      </c>
      <c r="G86" s="49" t="str">
        <f aca="false">IF($A86="","",IFERROR(INDEX('ISV Inventory'!$R$6:$R$255,MATCH(SMALL('ISV Inventory'!$AU$6:$AU$255,$A86),'ISV Inventory'!$AU$6:$AU$255,0)),""))</f>
        <v/>
      </c>
      <c r="H86" s="13" t="str">
        <f aca="false">IF($A86="","",IFERROR(INDEX('ISV Inventory'!$X$6:$X$255,MATCH(SMALL('ISV Inventory'!$AU$6:$AU$255,$A86),'ISV Inventory'!$AU$6:$AU$255,0))&amp;"",""))</f>
        <v/>
      </c>
      <c r="I86" s="47" t="str">
        <f aca="false">IF($A86="","",IFERROR(INDEX('ISV Inventory'!$Z$6:$Z$255,MATCH(SMALL('ISV Inventory'!$AU$6:$AU$255,$A86),'ISV Inventory'!$AU$6:$AU$255,0)),""))</f>
        <v/>
      </c>
      <c r="J86" s="13" t="str">
        <f aca="false">IF($A86="","",IFERROR(INDEX('ISV Inventory'!$AG$6:$AG$255,MATCH(SMALL('ISV Inventory'!$AU$6:$AU$255,$A86),'ISV Inventory'!$AU$6:$AU$255,0))&amp;"",""))</f>
        <v/>
      </c>
      <c r="K86" s="13" t="str">
        <f aca="false">IF($A86="","",IFERROR(INDEX('ISV Inventory'!$AK$6:$AK$255,MATCH(SMALL('ISV Inventory'!$AU$6:$AU$255,$A86),'ISV Inventory'!$AU$6:$AU$255,0))&amp;"",""))</f>
        <v/>
      </c>
      <c r="L86" s="13" t="str">
        <f aca="false">IF($A86="","",IFERROR(INDEX('ISV Inventory'!$AR$6:$AR$255,MATCH(SMALL('ISV Inventory'!$AU$6:$AU$255,$A86),'ISV Inventory'!$AU$6:$AU$255,0))&amp;"",""))</f>
        <v/>
      </c>
      <c r="M86" s="13" t="str">
        <f aca="false">IF($A86="","",IFERROR(INDEX('ISV Inventory'!$AS$6:$AS$255,MATCH(SMALL('ISV Inventory'!$AU$6:$AU$255,$A86),'ISV Inventory'!$AU$6:$AU$255,0))&amp;"",""))</f>
        <v/>
      </c>
    </row>
    <row r="87" customFormat="false" ht="15" hidden="false" customHeight="false" outlineLevel="0" collapsed="false">
      <c r="A87" s="13" t="str">
        <f aca="false">IF(COUNT('ISV Inventory'!$AU$6:$AU$255)&lt;83,"",83)</f>
        <v/>
      </c>
      <c r="B87" s="47" t="str">
        <f aca="false">IF($A87="","",IFERROR(INDEX('ISV Inventory'!$V$6:$V$255,MATCH(SMALL('ISV Inventory'!$AU$6:$AU$255,$A87),'ISV Inventory'!$AU$6:$AU$255,0)),""))</f>
        <v/>
      </c>
      <c r="C87" s="48" t="str">
        <f aca="false">IF($A87="","",IFERROR(INDEX('ISV Inventory'!$AA$6:$AA$255,MATCH(SMALL('ISV Inventory'!$AU$6:$AU$255,$A87),'ISV Inventory'!$AU$6:$AU$255,0)),""))</f>
        <v/>
      </c>
      <c r="D87" s="13" t="str">
        <f aca="false">IF($A87="","",IFERROR(INDEX('ISV Inventory'!$AB$6:$AB$255,MATCH(SMALL('ISV Inventory'!$AU$6:$AU$255,$A87),'ISV Inventory'!$AU$6:$AU$255,0))&amp;"",""))</f>
        <v/>
      </c>
      <c r="E87" s="13" t="str">
        <f aca="false">IF($A87="","",IFERROR(INDEX('ISV Inventory'!$B$6:$B$255,MATCH(SMALL('ISV Inventory'!$AU$6:$AU$255,$A87),'ISV Inventory'!$AU$6:$AU$255,0))&amp;"",""))</f>
        <v/>
      </c>
      <c r="F87" s="13" t="str">
        <f aca="false">IF($A87="","",IFERROR(INDEX('ISV Inventory'!$F$6:$F$255,MATCH(SMALL('ISV Inventory'!$AU$6:$AU$255,$A87),'ISV Inventory'!$AU$6:$AU$255,0))&amp;"",""))</f>
        <v/>
      </c>
      <c r="G87" s="49" t="str">
        <f aca="false">IF($A87="","",IFERROR(INDEX('ISV Inventory'!$R$6:$R$255,MATCH(SMALL('ISV Inventory'!$AU$6:$AU$255,$A87),'ISV Inventory'!$AU$6:$AU$255,0)),""))</f>
        <v/>
      </c>
      <c r="H87" s="13" t="str">
        <f aca="false">IF($A87="","",IFERROR(INDEX('ISV Inventory'!$X$6:$X$255,MATCH(SMALL('ISV Inventory'!$AU$6:$AU$255,$A87),'ISV Inventory'!$AU$6:$AU$255,0))&amp;"",""))</f>
        <v/>
      </c>
      <c r="I87" s="47" t="str">
        <f aca="false">IF($A87="","",IFERROR(INDEX('ISV Inventory'!$Z$6:$Z$255,MATCH(SMALL('ISV Inventory'!$AU$6:$AU$255,$A87),'ISV Inventory'!$AU$6:$AU$255,0)),""))</f>
        <v/>
      </c>
      <c r="J87" s="13" t="str">
        <f aca="false">IF($A87="","",IFERROR(INDEX('ISV Inventory'!$AG$6:$AG$255,MATCH(SMALL('ISV Inventory'!$AU$6:$AU$255,$A87),'ISV Inventory'!$AU$6:$AU$255,0))&amp;"",""))</f>
        <v/>
      </c>
      <c r="K87" s="13" t="str">
        <f aca="false">IF($A87="","",IFERROR(INDEX('ISV Inventory'!$AK$6:$AK$255,MATCH(SMALL('ISV Inventory'!$AU$6:$AU$255,$A87),'ISV Inventory'!$AU$6:$AU$255,0))&amp;"",""))</f>
        <v/>
      </c>
      <c r="L87" s="13" t="str">
        <f aca="false">IF($A87="","",IFERROR(INDEX('ISV Inventory'!$AR$6:$AR$255,MATCH(SMALL('ISV Inventory'!$AU$6:$AU$255,$A87),'ISV Inventory'!$AU$6:$AU$255,0))&amp;"",""))</f>
        <v/>
      </c>
      <c r="M87" s="13" t="str">
        <f aca="false">IF($A87="","",IFERROR(INDEX('ISV Inventory'!$AS$6:$AS$255,MATCH(SMALL('ISV Inventory'!$AU$6:$AU$255,$A87),'ISV Inventory'!$AU$6:$AU$255,0))&amp;"",""))</f>
        <v/>
      </c>
    </row>
    <row r="88" customFormat="false" ht="15" hidden="false" customHeight="false" outlineLevel="0" collapsed="false">
      <c r="A88" s="13" t="str">
        <f aca="false">IF(COUNT('ISV Inventory'!$AU$6:$AU$255)&lt;84,"",84)</f>
        <v/>
      </c>
      <c r="B88" s="47" t="str">
        <f aca="false">IF($A88="","",IFERROR(INDEX('ISV Inventory'!$V$6:$V$255,MATCH(SMALL('ISV Inventory'!$AU$6:$AU$255,$A88),'ISV Inventory'!$AU$6:$AU$255,0)),""))</f>
        <v/>
      </c>
      <c r="C88" s="48" t="str">
        <f aca="false">IF($A88="","",IFERROR(INDEX('ISV Inventory'!$AA$6:$AA$255,MATCH(SMALL('ISV Inventory'!$AU$6:$AU$255,$A88),'ISV Inventory'!$AU$6:$AU$255,0)),""))</f>
        <v/>
      </c>
      <c r="D88" s="13" t="str">
        <f aca="false">IF($A88="","",IFERROR(INDEX('ISV Inventory'!$AB$6:$AB$255,MATCH(SMALL('ISV Inventory'!$AU$6:$AU$255,$A88),'ISV Inventory'!$AU$6:$AU$255,0))&amp;"",""))</f>
        <v/>
      </c>
      <c r="E88" s="13" t="str">
        <f aca="false">IF($A88="","",IFERROR(INDEX('ISV Inventory'!$B$6:$B$255,MATCH(SMALL('ISV Inventory'!$AU$6:$AU$255,$A88),'ISV Inventory'!$AU$6:$AU$255,0))&amp;"",""))</f>
        <v/>
      </c>
      <c r="F88" s="13" t="str">
        <f aca="false">IF($A88="","",IFERROR(INDEX('ISV Inventory'!$F$6:$F$255,MATCH(SMALL('ISV Inventory'!$AU$6:$AU$255,$A88),'ISV Inventory'!$AU$6:$AU$255,0))&amp;"",""))</f>
        <v/>
      </c>
      <c r="G88" s="49" t="str">
        <f aca="false">IF($A88="","",IFERROR(INDEX('ISV Inventory'!$R$6:$R$255,MATCH(SMALL('ISV Inventory'!$AU$6:$AU$255,$A88),'ISV Inventory'!$AU$6:$AU$255,0)),""))</f>
        <v/>
      </c>
      <c r="H88" s="13" t="str">
        <f aca="false">IF($A88="","",IFERROR(INDEX('ISV Inventory'!$X$6:$X$255,MATCH(SMALL('ISV Inventory'!$AU$6:$AU$255,$A88),'ISV Inventory'!$AU$6:$AU$255,0))&amp;"",""))</f>
        <v/>
      </c>
      <c r="I88" s="47" t="str">
        <f aca="false">IF($A88="","",IFERROR(INDEX('ISV Inventory'!$Z$6:$Z$255,MATCH(SMALL('ISV Inventory'!$AU$6:$AU$255,$A88),'ISV Inventory'!$AU$6:$AU$255,0)),""))</f>
        <v/>
      </c>
      <c r="J88" s="13" t="str">
        <f aca="false">IF($A88="","",IFERROR(INDEX('ISV Inventory'!$AG$6:$AG$255,MATCH(SMALL('ISV Inventory'!$AU$6:$AU$255,$A88),'ISV Inventory'!$AU$6:$AU$255,0))&amp;"",""))</f>
        <v/>
      </c>
      <c r="K88" s="13" t="str">
        <f aca="false">IF($A88="","",IFERROR(INDEX('ISV Inventory'!$AK$6:$AK$255,MATCH(SMALL('ISV Inventory'!$AU$6:$AU$255,$A88),'ISV Inventory'!$AU$6:$AU$255,0))&amp;"",""))</f>
        <v/>
      </c>
      <c r="L88" s="13" t="str">
        <f aca="false">IF($A88="","",IFERROR(INDEX('ISV Inventory'!$AR$6:$AR$255,MATCH(SMALL('ISV Inventory'!$AU$6:$AU$255,$A88),'ISV Inventory'!$AU$6:$AU$255,0))&amp;"",""))</f>
        <v/>
      </c>
      <c r="M88" s="13" t="str">
        <f aca="false">IF($A88="","",IFERROR(INDEX('ISV Inventory'!$AS$6:$AS$255,MATCH(SMALL('ISV Inventory'!$AU$6:$AU$255,$A88),'ISV Inventory'!$AU$6:$AU$255,0))&amp;"",""))</f>
        <v/>
      </c>
    </row>
    <row r="89" customFormat="false" ht="15" hidden="false" customHeight="false" outlineLevel="0" collapsed="false">
      <c r="A89" s="13" t="str">
        <f aca="false">IF(COUNT('ISV Inventory'!$AU$6:$AU$255)&lt;85,"",85)</f>
        <v/>
      </c>
      <c r="B89" s="47" t="str">
        <f aca="false">IF($A89="","",IFERROR(INDEX('ISV Inventory'!$V$6:$V$255,MATCH(SMALL('ISV Inventory'!$AU$6:$AU$255,$A89),'ISV Inventory'!$AU$6:$AU$255,0)),""))</f>
        <v/>
      </c>
      <c r="C89" s="48" t="str">
        <f aca="false">IF($A89="","",IFERROR(INDEX('ISV Inventory'!$AA$6:$AA$255,MATCH(SMALL('ISV Inventory'!$AU$6:$AU$255,$A89),'ISV Inventory'!$AU$6:$AU$255,0)),""))</f>
        <v/>
      </c>
      <c r="D89" s="13" t="str">
        <f aca="false">IF($A89="","",IFERROR(INDEX('ISV Inventory'!$AB$6:$AB$255,MATCH(SMALL('ISV Inventory'!$AU$6:$AU$255,$A89),'ISV Inventory'!$AU$6:$AU$255,0))&amp;"",""))</f>
        <v/>
      </c>
      <c r="E89" s="13" t="str">
        <f aca="false">IF($A89="","",IFERROR(INDEX('ISV Inventory'!$B$6:$B$255,MATCH(SMALL('ISV Inventory'!$AU$6:$AU$255,$A89),'ISV Inventory'!$AU$6:$AU$255,0))&amp;"",""))</f>
        <v/>
      </c>
      <c r="F89" s="13" t="str">
        <f aca="false">IF($A89="","",IFERROR(INDEX('ISV Inventory'!$F$6:$F$255,MATCH(SMALL('ISV Inventory'!$AU$6:$AU$255,$A89),'ISV Inventory'!$AU$6:$AU$255,0))&amp;"",""))</f>
        <v/>
      </c>
      <c r="G89" s="49" t="str">
        <f aca="false">IF($A89="","",IFERROR(INDEX('ISV Inventory'!$R$6:$R$255,MATCH(SMALL('ISV Inventory'!$AU$6:$AU$255,$A89),'ISV Inventory'!$AU$6:$AU$255,0)),""))</f>
        <v/>
      </c>
      <c r="H89" s="13" t="str">
        <f aca="false">IF($A89="","",IFERROR(INDEX('ISV Inventory'!$X$6:$X$255,MATCH(SMALL('ISV Inventory'!$AU$6:$AU$255,$A89),'ISV Inventory'!$AU$6:$AU$255,0))&amp;"",""))</f>
        <v/>
      </c>
      <c r="I89" s="47" t="str">
        <f aca="false">IF($A89="","",IFERROR(INDEX('ISV Inventory'!$Z$6:$Z$255,MATCH(SMALL('ISV Inventory'!$AU$6:$AU$255,$A89),'ISV Inventory'!$AU$6:$AU$255,0)),""))</f>
        <v/>
      </c>
      <c r="J89" s="13" t="str">
        <f aca="false">IF($A89="","",IFERROR(INDEX('ISV Inventory'!$AG$6:$AG$255,MATCH(SMALL('ISV Inventory'!$AU$6:$AU$255,$A89),'ISV Inventory'!$AU$6:$AU$255,0))&amp;"",""))</f>
        <v/>
      </c>
      <c r="K89" s="13" t="str">
        <f aca="false">IF($A89="","",IFERROR(INDEX('ISV Inventory'!$AK$6:$AK$255,MATCH(SMALL('ISV Inventory'!$AU$6:$AU$255,$A89),'ISV Inventory'!$AU$6:$AU$255,0))&amp;"",""))</f>
        <v/>
      </c>
      <c r="L89" s="13" t="str">
        <f aca="false">IF($A89="","",IFERROR(INDEX('ISV Inventory'!$AR$6:$AR$255,MATCH(SMALL('ISV Inventory'!$AU$6:$AU$255,$A89),'ISV Inventory'!$AU$6:$AU$255,0))&amp;"",""))</f>
        <v/>
      </c>
      <c r="M89" s="13" t="str">
        <f aca="false">IF($A89="","",IFERROR(INDEX('ISV Inventory'!$AS$6:$AS$255,MATCH(SMALL('ISV Inventory'!$AU$6:$AU$255,$A89),'ISV Inventory'!$AU$6:$AU$255,0))&amp;"",""))</f>
        <v/>
      </c>
    </row>
    <row r="90" customFormat="false" ht="15" hidden="false" customHeight="false" outlineLevel="0" collapsed="false">
      <c r="A90" s="13" t="str">
        <f aca="false">IF(COUNT('ISV Inventory'!$AU$6:$AU$255)&lt;86,"",86)</f>
        <v/>
      </c>
      <c r="B90" s="47" t="str">
        <f aca="false">IF($A90="","",IFERROR(INDEX('ISV Inventory'!$V$6:$V$255,MATCH(SMALL('ISV Inventory'!$AU$6:$AU$255,$A90),'ISV Inventory'!$AU$6:$AU$255,0)),""))</f>
        <v/>
      </c>
      <c r="C90" s="48" t="str">
        <f aca="false">IF($A90="","",IFERROR(INDEX('ISV Inventory'!$AA$6:$AA$255,MATCH(SMALL('ISV Inventory'!$AU$6:$AU$255,$A90),'ISV Inventory'!$AU$6:$AU$255,0)),""))</f>
        <v/>
      </c>
      <c r="D90" s="13" t="str">
        <f aca="false">IF($A90="","",IFERROR(INDEX('ISV Inventory'!$AB$6:$AB$255,MATCH(SMALL('ISV Inventory'!$AU$6:$AU$255,$A90),'ISV Inventory'!$AU$6:$AU$255,0))&amp;"",""))</f>
        <v/>
      </c>
      <c r="E90" s="13" t="str">
        <f aca="false">IF($A90="","",IFERROR(INDEX('ISV Inventory'!$B$6:$B$255,MATCH(SMALL('ISV Inventory'!$AU$6:$AU$255,$A90),'ISV Inventory'!$AU$6:$AU$255,0))&amp;"",""))</f>
        <v/>
      </c>
      <c r="F90" s="13" t="str">
        <f aca="false">IF($A90="","",IFERROR(INDEX('ISV Inventory'!$F$6:$F$255,MATCH(SMALL('ISV Inventory'!$AU$6:$AU$255,$A90),'ISV Inventory'!$AU$6:$AU$255,0))&amp;"",""))</f>
        <v/>
      </c>
      <c r="G90" s="49" t="str">
        <f aca="false">IF($A90="","",IFERROR(INDEX('ISV Inventory'!$R$6:$R$255,MATCH(SMALL('ISV Inventory'!$AU$6:$AU$255,$A90),'ISV Inventory'!$AU$6:$AU$255,0)),""))</f>
        <v/>
      </c>
      <c r="H90" s="13" t="str">
        <f aca="false">IF($A90="","",IFERROR(INDEX('ISV Inventory'!$X$6:$X$255,MATCH(SMALL('ISV Inventory'!$AU$6:$AU$255,$A90),'ISV Inventory'!$AU$6:$AU$255,0))&amp;"",""))</f>
        <v/>
      </c>
      <c r="I90" s="47" t="str">
        <f aca="false">IF($A90="","",IFERROR(INDEX('ISV Inventory'!$Z$6:$Z$255,MATCH(SMALL('ISV Inventory'!$AU$6:$AU$255,$A90),'ISV Inventory'!$AU$6:$AU$255,0)),""))</f>
        <v/>
      </c>
      <c r="J90" s="13" t="str">
        <f aca="false">IF($A90="","",IFERROR(INDEX('ISV Inventory'!$AG$6:$AG$255,MATCH(SMALL('ISV Inventory'!$AU$6:$AU$255,$A90),'ISV Inventory'!$AU$6:$AU$255,0))&amp;"",""))</f>
        <v/>
      </c>
      <c r="K90" s="13" t="str">
        <f aca="false">IF($A90="","",IFERROR(INDEX('ISV Inventory'!$AK$6:$AK$255,MATCH(SMALL('ISV Inventory'!$AU$6:$AU$255,$A90),'ISV Inventory'!$AU$6:$AU$255,0))&amp;"",""))</f>
        <v/>
      </c>
      <c r="L90" s="13" t="str">
        <f aca="false">IF($A90="","",IFERROR(INDEX('ISV Inventory'!$AR$6:$AR$255,MATCH(SMALL('ISV Inventory'!$AU$6:$AU$255,$A90),'ISV Inventory'!$AU$6:$AU$255,0))&amp;"",""))</f>
        <v/>
      </c>
      <c r="M90" s="13" t="str">
        <f aca="false">IF($A90="","",IFERROR(INDEX('ISV Inventory'!$AS$6:$AS$255,MATCH(SMALL('ISV Inventory'!$AU$6:$AU$255,$A90),'ISV Inventory'!$AU$6:$AU$255,0))&amp;"",""))</f>
        <v/>
      </c>
    </row>
    <row r="91" customFormat="false" ht="15" hidden="false" customHeight="false" outlineLevel="0" collapsed="false">
      <c r="A91" s="13" t="str">
        <f aca="false">IF(COUNT('ISV Inventory'!$AU$6:$AU$255)&lt;87,"",87)</f>
        <v/>
      </c>
      <c r="B91" s="47" t="str">
        <f aca="false">IF($A91="","",IFERROR(INDEX('ISV Inventory'!$V$6:$V$255,MATCH(SMALL('ISV Inventory'!$AU$6:$AU$255,$A91),'ISV Inventory'!$AU$6:$AU$255,0)),""))</f>
        <v/>
      </c>
      <c r="C91" s="48" t="str">
        <f aca="false">IF($A91="","",IFERROR(INDEX('ISV Inventory'!$AA$6:$AA$255,MATCH(SMALL('ISV Inventory'!$AU$6:$AU$255,$A91),'ISV Inventory'!$AU$6:$AU$255,0)),""))</f>
        <v/>
      </c>
      <c r="D91" s="13" t="str">
        <f aca="false">IF($A91="","",IFERROR(INDEX('ISV Inventory'!$AB$6:$AB$255,MATCH(SMALL('ISV Inventory'!$AU$6:$AU$255,$A91),'ISV Inventory'!$AU$6:$AU$255,0))&amp;"",""))</f>
        <v/>
      </c>
      <c r="E91" s="13" t="str">
        <f aca="false">IF($A91="","",IFERROR(INDEX('ISV Inventory'!$B$6:$B$255,MATCH(SMALL('ISV Inventory'!$AU$6:$AU$255,$A91),'ISV Inventory'!$AU$6:$AU$255,0))&amp;"",""))</f>
        <v/>
      </c>
      <c r="F91" s="13" t="str">
        <f aca="false">IF($A91="","",IFERROR(INDEX('ISV Inventory'!$F$6:$F$255,MATCH(SMALL('ISV Inventory'!$AU$6:$AU$255,$A91),'ISV Inventory'!$AU$6:$AU$255,0))&amp;"",""))</f>
        <v/>
      </c>
      <c r="G91" s="49" t="str">
        <f aca="false">IF($A91="","",IFERROR(INDEX('ISV Inventory'!$R$6:$R$255,MATCH(SMALL('ISV Inventory'!$AU$6:$AU$255,$A91),'ISV Inventory'!$AU$6:$AU$255,0)),""))</f>
        <v/>
      </c>
      <c r="H91" s="13" t="str">
        <f aca="false">IF($A91="","",IFERROR(INDEX('ISV Inventory'!$X$6:$X$255,MATCH(SMALL('ISV Inventory'!$AU$6:$AU$255,$A91),'ISV Inventory'!$AU$6:$AU$255,0))&amp;"",""))</f>
        <v/>
      </c>
      <c r="I91" s="47" t="str">
        <f aca="false">IF($A91="","",IFERROR(INDEX('ISV Inventory'!$Z$6:$Z$255,MATCH(SMALL('ISV Inventory'!$AU$6:$AU$255,$A91),'ISV Inventory'!$AU$6:$AU$255,0)),""))</f>
        <v/>
      </c>
      <c r="J91" s="13" t="str">
        <f aca="false">IF($A91="","",IFERROR(INDEX('ISV Inventory'!$AG$6:$AG$255,MATCH(SMALL('ISV Inventory'!$AU$6:$AU$255,$A91),'ISV Inventory'!$AU$6:$AU$255,0))&amp;"",""))</f>
        <v/>
      </c>
      <c r="K91" s="13" t="str">
        <f aca="false">IF($A91="","",IFERROR(INDEX('ISV Inventory'!$AK$6:$AK$255,MATCH(SMALL('ISV Inventory'!$AU$6:$AU$255,$A91),'ISV Inventory'!$AU$6:$AU$255,0))&amp;"",""))</f>
        <v/>
      </c>
      <c r="L91" s="13" t="str">
        <f aca="false">IF($A91="","",IFERROR(INDEX('ISV Inventory'!$AR$6:$AR$255,MATCH(SMALL('ISV Inventory'!$AU$6:$AU$255,$A91),'ISV Inventory'!$AU$6:$AU$255,0))&amp;"",""))</f>
        <v/>
      </c>
      <c r="M91" s="13" t="str">
        <f aca="false">IF($A91="","",IFERROR(INDEX('ISV Inventory'!$AS$6:$AS$255,MATCH(SMALL('ISV Inventory'!$AU$6:$AU$255,$A91),'ISV Inventory'!$AU$6:$AU$255,0))&amp;"",""))</f>
        <v/>
      </c>
    </row>
    <row r="92" customFormat="false" ht="15" hidden="false" customHeight="false" outlineLevel="0" collapsed="false">
      <c r="A92" s="13" t="str">
        <f aca="false">IF(COUNT('ISV Inventory'!$AU$6:$AU$255)&lt;88,"",88)</f>
        <v/>
      </c>
      <c r="B92" s="47" t="str">
        <f aca="false">IF($A92="","",IFERROR(INDEX('ISV Inventory'!$V$6:$V$255,MATCH(SMALL('ISV Inventory'!$AU$6:$AU$255,$A92),'ISV Inventory'!$AU$6:$AU$255,0)),""))</f>
        <v/>
      </c>
      <c r="C92" s="48" t="str">
        <f aca="false">IF($A92="","",IFERROR(INDEX('ISV Inventory'!$AA$6:$AA$255,MATCH(SMALL('ISV Inventory'!$AU$6:$AU$255,$A92),'ISV Inventory'!$AU$6:$AU$255,0)),""))</f>
        <v/>
      </c>
      <c r="D92" s="13" t="str">
        <f aca="false">IF($A92="","",IFERROR(INDEX('ISV Inventory'!$AB$6:$AB$255,MATCH(SMALL('ISV Inventory'!$AU$6:$AU$255,$A92),'ISV Inventory'!$AU$6:$AU$255,0))&amp;"",""))</f>
        <v/>
      </c>
      <c r="E92" s="13" t="str">
        <f aca="false">IF($A92="","",IFERROR(INDEX('ISV Inventory'!$B$6:$B$255,MATCH(SMALL('ISV Inventory'!$AU$6:$AU$255,$A92),'ISV Inventory'!$AU$6:$AU$255,0))&amp;"",""))</f>
        <v/>
      </c>
      <c r="F92" s="13" t="str">
        <f aca="false">IF($A92="","",IFERROR(INDEX('ISV Inventory'!$F$6:$F$255,MATCH(SMALL('ISV Inventory'!$AU$6:$AU$255,$A92),'ISV Inventory'!$AU$6:$AU$255,0))&amp;"",""))</f>
        <v/>
      </c>
      <c r="G92" s="49" t="str">
        <f aca="false">IF($A92="","",IFERROR(INDEX('ISV Inventory'!$R$6:$R$255,MATCH(SMALL('ISV Inventory'!$AU$6:$AU$255,$A92),'ISV Inventory'!$AU$6:$AU$255,0)),""))</f>
        <v/>
      </c>
      <c r="H92" s="13" t="str">
        <f aca="false">IF($A92="","",IFERROR(INDEX('ISV Inventory'!$X$6:$X$255,MATCH(SMALL('ISV Inventory'!$AU$6:$AU$255,$A92),'ISV Inventory'!$AU$6:$AU$255,0))&amp;"",""))</f>
        <v/>
      </c>
      <c r="I92" s="47" t="str">
        <f aca="false">IF($A92="","",IFERROR(INDEX('ISV Inventory'!$Z$6:$Z$255,MATCH(SMALL('ISV Inventory'!$AU$6:$AU$255,$A92),'ISV Inventory'!$AU$6:$AU$255,0)),""))</f>
        <v/>
      </c>
      <c r="J92" s="13" t="str">
        <f aca="false">IF($A92="","",IFERROR(INDEX('ISV Inventory'!$AG$6:$AG$255,MATCH(SMALL('ISV Inventory'!$AU$6:$AU$255,$A92),'ISV Inventory'!$AU$6:$AU$255,0))&amp;"",""))</f>
        <v/>
      </c>
      <c r="K92" s="13" t="str">
        <f aca="false">IF($A92="","",IFERROR(INDEX('ISV Inventory'!$AK$6:$AK$255,MATCH(SMALL('ISV Inventory'!$AU$6:$AU$255,$A92),'ISV Inventory'!$AU$6:$AU$255,0))&amp;"",""))</f>
        <v/>
      </c>
      <c r="L92" s="13" t="str">
        <f aca="false">IF($A92="","",IFERROR(INDEX('ISV Inventory'!$AR$6:$AR$255,MATCH(SMALL('ISV Inventory'!$AU$6:$AU$255,$A92),'ISV Inventory'!$AU$6:$AU$255,0))&amp;"",""))</f>
        <v/>
      </c>
      <c r="M92" s="13" t="str">
        <f aca="false">IF($A92="","",IFERROR(INDEX('ISV Inventory'!$AS$6:$AS$255,MATCH(SMALL('ISV Inventory'!$AU$6:$AU$255,$A92),'ISV Inventory'!$AU$6:$AU$255,0))&amp;"",""))</f>
        <v/>
      </c>
    </row>
    <row r="93" customFormat="false" ht="15" hidden="false" customHeight="false" outlineLevel="0" collapsed="false">
      <c r="A93" s="13" t="str">
        <f aca="false">IF(COUNT('ISV Inventory'!$AU$6:$AU$255)&lt;89,"",89)</f>
        <v/>
      </c>
      <c r="B93" s="47" t="str">
        <f aca="false">IF($A93="","",IFERROR(INDEX('ISV Inventory'!$V$6:$V$255,MATCH(SMALL('ISV Inventory'!$AU$6:$AU$255,$A93),'ISV Inventory'!$AU$6:$AU$255,0)),""))</f>
        <v/>
      </c>
      <c r="C93" s="48" t="str">
        <f aca="false">IF($A93="","",IFERROR(INDEX('ISV Inventory'!$AA$6:$AA$255,MATCH(SMALL('ISV Inventory'!$AU$6:$AU$255,$A93),'ISV Inventory'!$AU$6:$AU$255,0)),""))</f>
        <v/>
      </c>
      <c r="D93" s="13" t="str">
        <f aca="false">IF($A93="","",IFERROR(INDEX('ISV Inventory'!$AB$6:$AB$255,MATCH(SMALL('ISV Inventory'!$AU$6:$AU$255,$A93),'ISV Inventory'!$AU$6:$AU$255,0))&amp;"",""))</f>
        <v/>
      </c>
      <c r="E93" s="13" t="str">
        <f aca="false">IF($A93="","",IFERROR(INDEX('ISV Inventory'!$B$6:$B$255,MATCH(SMALL('ISV Inventory'!$AU$6:$AU$255,$A93),'ISV Inventory'!$AU$6:$AU$255,0))&amp;"",""))</f>
        <v/>
      </c>
      <c r="F93" s="13" t="str">
        <f aca="false">IF($A93="","",IFERROR(INDEX('ISV Inventory'!$F$6:$F$255,MATCH(SMALL('ISV Inventory'!$AU$6:$AU$255,$A93),'ISV Inventory'!$AU$6:$AU$255,0))&amp;"",""))</f>
        <v/>
      </c>
      <c r="G93" s="49" t="str">
        <f aca="false">IF($A93="","",IFERROR(INDEX('ISV Inventory'!$R$6:$R$255,MATCH(SMALL('ISV Inventory'!$AU$6:$AU$255,$A93),'ISV Inventory'!$AU$6:$AU$255,0)),""))</f>
        <v/>
      </c>
      <c r="H93" s="13" t="str">
        <f aca="false">IF($A93="","",IFERROR(INDEX('ISV Inventory'!$X$6:$X$255,MATCH(SMALL('ISV Inventory'!$AU$6:$AU$255,$A93),'ISV Inventory'!$AU$6:$AU$255,0))&amp;"",""))</f>
        <v/>
      </c>
      <c r="I93" s="47" t="str">
        <f aca="false">IF($A93="","",IFERROR(INDEX('ISV Inventory'!$Z$6:$Z$255,MATCH(SMALL('ISV Inventory'!$AU$6:$AU$255,$A93),'ISV Inventory'!$AU$6:$AU$255,0)),""))</f>
        <v/>
      </c>
      <c r="J93" s="13" t="str">
        <f aca="false">IF($A93="","",IFERROR(INDEX('ISV Inventory'!$AG$6:$AG$255,MATCH(SMALL('ISV Inventory'!$AU$6:$AU$255,$A93),'ISV Inventory'!$AU$6:$AU$255,0))&amp;"",""))</f>
        <v/>
      </c>
      <c r="K93" s="13" t="str">
        <f aca="false">IF($A93="","",IFERROR(INDEX('ISV Inventory'!$AK$6:$AK$255,MATCH(SMALL('ISV Inventory'!$AU$6:$AU$255,$A93),'ISV Inventory'!$AU$6:$AU$255,0))&amp;"",""))</f>
        <v/>
      </c>
      <c r="L93" s="13" t="str">
        <f aca="false">IF($A93="","",IFERROR(INDEX('ISV Inventory'!$AR$6:$AR$255,MATCH(SMALL('ISV Inventory'!$AU$6:$AU$255,$A93),'ISV Inventory'!$AU$6:$AU$255,0))&amp;"",""))</f>
        <v/>
      </c>
      <c r="M93" s="13" t="str">
        <f aca="false">IF($A93="","",IFERROR(INDEX('ISV Inventory'!$AS$6:$AS$255,MATCH(SMALL('ISV Inventory'!$AU$6:$AU$255,$A93),'ISV Inventory'!$AU$6:$AU$255,0))&amp;"",""))</f>
        <v/>
      </c>
    </row>
    <row r="94" customFormat="false" ht="15" hidden="false" customHeight="false" outlineLevel="0" collapsed="false">
      <c r="A94" s="13" t="str">
        <f aca="false">IF(COUNT('ISV Inventory'!$AU$6:$AU$255)&lt;90,"",90)</f>
        <v/>
      </c>
      <c r="B94" s="47" t="str">
        <f aca="false">IF($A94="","",IFERROR(INDEX('ISV Inventory'!$V$6:$V$255,MATCH(SMALL('ISV Inventory'!$AU$6:$AU$255,$A94),'ISV Inventory'!$AU$6:$AU$255,0)),""))</f>
        <v/>
      </c>
      <c r="C94" s="48" t="str">
        <f aca="false">IF($A94="","",IFERROR(INDEX('ISV Inventory'!$AA$6:$AA$255,MATCH(SMALL('ISV Inventory'!$AU$6:$AU$255,$A94),'ISV Inventory'!$AU$6:$AU$255,0)),""))</f>
        <v/>
      </c>
      <c r="D94" s="13" t="str">
        <f aca="false">IF($A94="","",IFERROR(INDEX('ISV Inventory'!$AB$6:$AB$255,MATCH(SMALL('ISV Inventory'!$AU$6:$AU$255,$A94),'ISV Inventory'!$AU$6:$AU$255,0))&amp;"",""))</f>
        <v/>
      </c>
      <c r="E94" s="13" t="str">
        <f aca="false">IF($A94="","",IFERROR(INDEX('ISV Inventory'!$B$6:$B$255,MATCH(SMALL('ISV Inventory'!$AU$6:$AU$255,$A94),'ISV Inventory'!$AU$6:$AU$255,0))&amp;"",""))</f>
        <v/>
      </c>
      <c r="F94" s="13" t="str">
        <f aca="false">IF($A94="","",IFERROR(INDEX('ISV Inventory'!$F$6:$F$255,MATCH(SMALL('ISV Inventory'!$AU$6:$AU$255,$A94),'ISV Inventory'!$AU$6:$AU$255,0))&amp;"",""))</f>
        <v/>
      </c>
      <c r="G94" s="49" t="str">
        <f aca="false">IF($A94="","",IFERROR(INDEX('ISV Inventory'!$R$6:$R$255,MATCH(SMALL('ISV Inventory'!$AU$6:$AU$255,$A94),'ISV Inventory'!$AU$6:$AU$255,0)),""))</f>
        <v/>
      </c>
      <c r="H94" s="13" t="str">
        <f aca="false">IF($A94="","",IFERROR(INDEX('ISV Inventory'!$X$6:$X$255,MATCH(SMALL('ISV Inventory'!$AU$6:$AU$255,$A94),'ISV Inventory'!$AU$6:$AU$255,0))&amp;"",""))</f>
        <v/>
      </c>
      <c r="I94" s="47" t="str">
        <f aca="false">IF($A94="","",IFERROR(INDEX('ISV Inventory'!$Z$6:$Z$255,MATCH(SMALL('ISV Inventory'!$AU$6:$AU$255,$A94),'ISV Inventory'!$AU$6:$AU$255,0)),""))</f>
        <v/>
      </c>
      <c r="J94" s="13" t="str">
        <f aca="false">IF($A94="","",IFERROR(INDEX('ISV Inventory'!$AG$6:$AG$255,MATCH(SMALL('ISV Inventory'!$AU$6:$AU$255,$A94),'ISV Inventory'!$AU$6:$AU$255,0))&amp;"",""))</f>
        <v/>
      </c>
      <c r="K94" s="13" t="str">
        <f aca="false">IF($A94="","",IFERROR(INDEX('ISV Inventory'!$AK$6:$AK$255,MATCH(SMALL('ISV Inventory'!$AU$6:$AU$255,$A94),'ISV Inventory'!$AU$6:$AU$255,0))&amp;"",""))</f>
        <v/>
      </c>
      <c r="L94" s="13" t="str">
        <f aca="false">IF($A94="","",IFERROR(INDEX('ISV Inventory'!$AR$6:$AR$255,MATCH(SMALL('ISV Inventory'!$AU$6:$AU$255,$A94),'ISV Inventory'!$AU$6:$AU$255,0))&amp;"",""))</f>
        <v/>
      </c>
      <c r="M94" s="13" t="str">
        <f aca="false">IF($A94="","",IFERROR(INDEX('ISV Inventory'!$AS$6:$AS$255,MATCH(SMALL('ISV Inventory'!$AU$6:$AU$255,$A94),'ISV Inventory'!$AU$6:$AU$255,0))&amp;"",""))</f>
        <v/>
      </c>
    </row>
    <row r="95" customFormat="false" ht="15" hidden="false" customHeight="false" outlineLevel="0" collapsed="false">
      <c r="A95" s="13" t="str">
        <f aca="false">IF(COUNT('ISV Inventory'!$AU$6:$AU$255)&lt;91,"",91)</f>
        <v/>
      </c>
      <c r="B95" s="47" t="str">
        <f aca="false">IF($A95="","",IFERROR(INDEX('ISV Inventory'!$V$6:$V$255,MATCH(SMALL('ISV Inventory'!$AU$6:$AU$255,$A95),'ISV Inventory'!$AU$6:$AU$255,0)),""))</f>
        <v/>
      </c>
      <c r="C95" s="48" t="str">
        <f aca="false">IF($A95="","",IFERROR(INDEX('ISV Inventory'!$AA$6:$AA$255,MATCH(SMALL('ISV Inventory'!$AU$6:$AU$255,$A95),'ISV Inventory'!$AU$6:$AU$255,0)),""))</f>
        <v/>
      </c>
      <c r="D95" s="13" t="str">
        <f aca="false">IF($A95="","",IFERROR(INDEX('ISV Inventory'!$AB$6:$AB$255,MATCH(SMALL('ISV Inventory'!$AU$6:$AU$255,$A95),'ISV Inventory'!$AU$6:$AU$255,0))&amp;"",""))</f>
        <v/>
      </c>
      <c r="E95" s="13" t="str">
        <f aca="false">IF($A95="","",IFERROR(INDEX('ISV Inventory'!$B$6:$B$255,MATCH(SMALL('ISV Inventory'!$AU$6:$AU$255,$A95),'ISV Inventory'!$AU$6:$AU$255,0))&amp;"",""))</f>
        <v/>
      </c>
      <c r="F95" s="13" t="str">
        <f aca="false">IF($A95="","",IFERROR(INDEX('ISV Inventory'!$F$6:$F$255,MATCH(SMALL('ISV Inventory'!$AU$6:$AU$255,$A95),'ISV Inventory'!$AU$6:$AU$255,0))&amp;"",""))</f>
        <v/>
      </c>
      <c r="G95" s="49" t="str">
        <f aca="false">IF($A95="","",IFERROR(INDEX('ISV Inventory'!$R$6:$R$255,MATCH(SMALL('ISV Inventory'!$AU$6:$AU$255,$A95),'ISV Inventory'!$AU$6:$AU$255,0)),""))</f>
        <v/>
      </c>
      <c r="H95" s="13" t="str">
        <f aca="false">IF($A95="","",IFERROR(INDEX('ISV Inventory'!$X$6:$X$255,MATCH(SMALL('ISV Inventory'!$AU$6:$AU$255,$A95),'ISV Inventory'!$AU$6:$AU$255,0))&amp;"",""))</f>
        <v/>
      </c>
      <c r="I95" s="47" t="str">
        <f aca="false">IF($A95="","",IFERROR(INDEX('ISV Inventory'!$Z$6:$Z$255,MATCH(SMALL('ISV Inventory'!$AU$6:$AU$255,$A95),'ISV Inventory'!$AU$6:$AU$255,0)),""))</f>
        <v/>
      </c>
      <c r="J95" s="13" t="str">
        <f aca="false">IF($A95="","",IFERROR(INDEX('ISV Inventory'!$AG$6:$AG$255,MATCH(SMALL('ISV Inventory'!$AU$6:$AU$255,$A95),'ISV Inventory'!$AU$6:$AU$255,0))&amp;"",""))</f>
        <v/>
      </c>
      <c r="K95" s="13" t="str">
        <f aca="false">IF($A95="","",IFERROR(INDEX('ISV Inventory'!$AK$6:$AK$255,MATCH(SMALL('ISV Inventory'!$AU$6:$AU$255,$A95),'ISV Inventory'!$AU$6:$AU$255,0))&amp;"",""))</f>
        <v/>
      </c>
      <c r="L95" s="13" t="str">
        <f aca="false">IF($A95="","",IFERROR(INDEX('ISV Inventory'!$AR$6:$AR$255,MATCH(SMALL('ISV Inventory'!$AU$6:$AU$255,$A95),'ISV Inventory'!$AU$6:$AU$255,0))&amp;"",""))</f>
        <v/>
      </c>
      <c r="M95" s="13" t="str">
        <f aca="false">IF($A95="","",IFERROR(INDEX('ISV Inventory'!$AS$6:$AS$255,MATCH(SMALL('ISV Inventory'!$AU$6:$AU$255,$A95),'ISV Inventory'!$AU$6:$AU$255,0))&amp;"",""))</f>
        <v/>
      </c>
    </row>
    <row r="96" customFormat="false" ht="15" hidden="false" customHeight="false" outlineLevel="0" collapsed="false">
      <c r="A96" s="13" t="str">
        <f aca="false">IF(COUNT('ISV Inventory'!$AU$6:$AU$255)&lt;92,"",92)</f>
        <v/>
      </c>
      <c r="B96" s="47" t="str">
        <f aca="false">IF($A96="","",IFERROR(INDEX('ISV Inventory'!$V$6:$V$255,MATCH(SMALL('ISV Inventory'!$AU$6:$AU$255,$A96),'ISV Inventory'!$AU$6:$AU$255,0)),""))</f>
        <v/>
      </c>
      <c r="C96" s="48" t="str">
        <f aca="false">IF($A96="","",IFERROR(INDEX('ISV Inventory'!$AA$6:$AA$255,MATCH(SMALL('ISV Inventory'!$AU$6:$AU$255,$A96),'ISV Inventory'!$AU$6:$AU$255,0)),""))</f>
        <v/>
      </c>
      <c r="D96" s="13" t="str">
        <f aca="false">IF($A96="","",IFERROR(INDEX('ISV Inventory'!$AB$6:$AB$255,MATCH(SMALL('ISV Inventory'!$AU$6:$AU$255,$A96),'ISV Inventory'!$AU$6:$AU$255,0))&amp;"",""))</f>
        <v/>
      </c>
      <c r="E96" s="13" t="str">
        <f aca="false">IF($A96="","",IFERROR(INDEX('ISV Inventory'!$B$6:$B$255,MATCH(SMALL('ISV Inventory'!$AU$6:$AU$255,$A96),'ISV Inventory'!$AU$6:$AU$255,0))&amp;"",""))</f>
        <v/>
      </c>
      <c r="F96" s="13" t="str">
        <f aca="false">IF($A96="","",IFERROR(INDEX('ISV Inventory'!$F$6:$F$255,MATCH(SMALL('ISV Inventory'!$AU$6:$AU$255,$A96),'ISV Inventory'!$AU$6:$AU$255,0))&amp;"",""))</f>
        <v/>
      </c>
      <c r="G96" s="49" t="str">
        <f aca="false">IF($A96="","",IFERROR(INDEX('ISV Inventory'!$R$6:$R$255,MATCH(SMALL('ISV Inventory'!$AU$6:$AU$255,$A96),'ISV Inventory'!$AU$6:$AU$255,0)),""))</f>
        <v/>
      </c>
      <c r="H96" s="13" t="str">
        <f aca="false">IF($A96="","",IFERROR(INDEX('ISV Inventory'!$X$6:$X$255,MATCH(SMALL('ISV Inventory'!$AU$6:$AU$255,$A96),'ISV Inventory'!$AU$6:$AU$255,0))&amp;"",""))</f>
        <v/>
      </c>
      <c r="I96" s="47" t="str">
        <f aca="false">IF($A96="","",IFERROR(INDEX('ISV Inventory'!$Z$6:$Z$255,MATCH(SMALL('ISV Inventory'!$AU$6:$AU$255,$A96),'ISV Inventory'!$AU$6:$AU$255,0)),""))</f>
        <v/>
      </c>
      <c r="J96" s="13" t="str">
        <f aca="false">IF($A96="","",IFERROR(INDEX('ISV Inventory'!$AG$6:$AG$255,MATCH(SMALL('ISV Inventory'!$AU$6:$AU$255,$A96),'ISV Inventory'!$AU$6:$AU$255,0))&amp;"",""))</f>
        <v/>
      </c>
      <c r="K96" s="13" t="str">
        <f aca="false">IF($A96="","",IFERROR(INDEX('ISV Inventory'!$AK$6:$AK$255,MATCH(SMALL('ISV Inventory'!$AU$6:$AU$255,$A96),'ISV Inventory'!$AU$6:$AU$255,0))&amp;"",""))</f>
        <v/>
      </c>
      <c r="L96" s="13" t="str">
        <f aca="false">IF($A96="","",IFERROR(INDEX('ISV Inventory'!$AR$6:$AR$255,MATCH(SMALL('ISV Inventory'!$AU$6:$AU$255,$A96),'ISV Inventory'!$AU$6:$AU$255,0))&amp;"",""))</f>
        <v/>
      </c>
      <c r="M96" s="13" t="str">
        <f aca="false">IF($A96="","",IFERROR(INDEX('ISV Inventory'!$AS$6:$AS$255,MATCH(SMALL('ISV Inventory'!$AU$6:$AU$255,$A96),'ISV Inventory'!$AU$6:$AU$255,0))&amp;"",""))</f>
        <v/>
      </c>
    </row>
    <row r="97" customFormat="false" ht="15" hidden="false" customHeight="false" outlineLevel="0" collapsed="false">
      <c r="A97" s="13" t="str">
        <f aca="false">IF(COUNT('ISV Inventory'!$AU$6:$AU$255)&lt;93,"",93)</f>
        <v/>
      </c>
      <c r="B97" s="47" t="str">
        <f aca="false">IF($A97="","",IFERROR(INDEX('ISV Inventory'!$V$6:$V$255,MATCH(SMALL('ISV Inventory'!$AU$6:$AU$255,$A97),'ISV Inventory'!$AU$6:$AU$255,0)),""))</f>
        <v/>
      </c>
      <c r="C97" s="48" t="str">
        <f aca="false">IF($A97="","",IFERROR(INDEX('ISV Inventory'!$AA$6:$AA$255,MATCH(SMALL('ISV Inventory'!$AU$6:$AU$255,$A97),'ISV Inventory'!$AU$6:$AU$255,0)),""))</f>
        <v/>
      </c>
      <c r="D97" s="13" t="str">
        <f aca="false">IF($A97="","",IFERROR(INDEX('ISV Inventory'!$AB$6:$AB$255,MATCH(SMALL('ISV Inventory'!$AU$6:$AU$255,$A97),'ISV Inventory'!$AU$6:$AU$255,0))&amp;"",""))</f>
        <v/>
      </c>
      <c r="E97" s="13" t="str">
        <f aca="false">IF($A97="","",IFERROR(INDEX('ISV Inventory'!$B$6:$B$255,MATCH(SMALL('ISV Inventory'!$AU$6:$AU$255,$A97),'ISV Inventory'!$AU$6:$AU$255,0))&amp;"",""))</f>
        <v/>
      </c>
      <c r="F97" s="13" t="str">
        <f aca="false">IF($A97="","",IFERROR(INDEX('ISV Inventory'!$F$6:$F$255,MATCH(SMALL('ISV Inventory'!$AU$6:$AU$255,$A97),'ISV Inventory'!$AU$6:$AU$255,0))&amp;"",""))</f>
        <v/>
      </c>
      <c r="G97" s="49" t="str">
        <f aca="false">IF($A97="","",IFERROR(INDEX('ISV Inventory'!$R$6:$R$255,MATCH(SMALL('ISV Inventory'!$AU$6:$AU$255,$A97),'ISV Inventory'!$AU$6:$AU$255,0)),""))</f>
        <v/>
      </c>
      <c r="H97" s="13" t="str">
        <f aca="false">IF($A97="","",IFERROR(INDEX('ISV Inventory'!$X$6:$X$255,MATCH(SMALL('ISV Inventory'!$AU$6:$AU$255,$A97),'ISV Inventory'!$AU$6:$AU$255,0))&amp;"",""))</f>
        <v/>
      </c>
      <c r="I97" s="47" t="str">
        <f aca="false">IF($A97="","",IFERROR(INDEX('ISV Inventory'!$Z$6:$Z$255,MATCH(SMALL('ISV Inventory'!$AU$6:$AU$255,$A97),'ISV Inventory'!$AU$6:$AU$255,0)),""))</f>
        <v/>
      </c>
      <c r="J97" s="13" t="str">
        <f aca="false">IF($A97="","",IFERROR(INDEX('ISV Inventory'!$AG$6:$AG$255,MATCH(SMALL('ISV Inventory'!$AU$6:$AU$255,$A97),'ISV Inventory'!$AU$6:$AU$255,0))&amp;"",""))</f>
        <v/>
      </c>
      <c r="K97" s="13" t="str">
        <f aca="false">IF($A97="","",IFERROR(INDEX('ISV Inventory'!$AK$6:$AK$255,MATCH(SMALL('ISV Inventory'!$AU$6:$AU$255,$A97),'ISV Inventory'!$AU$6:$AU$255,0))&amp;"",""))</f>
        <v/>
      </c>
      <c r="L97" s="13" t="str">
        <f aca="false">IF($A97="","",IFERROR(INDEX('ISV Inventory'!$AR$6:$AR$255,MATCH(SMALL('ISV Inventory'!$AU$6:$AU$255,$A97),'ISV Inventory'!$AU$6:$AU$255,0))&amp;"",""))</f>
        <v/>
      </c>
      <c r="M97" s="13" t="str">
        <f aca="false">IF($A97="","",IFERROR(INDEX('ISV Inventory'!$AS$6:$AS$255,MATCH(SMALL('ISV Inventory'!$AU$6:$AU$255,$A97),'ISV Inventory'!$AU$6:$AU$255,0))&amp;"",""))</f>
        <v/>
      </c>
    </row>
    <row r="98" customFormat="false" ht="15" hidden="false" customHeight="false" outlineLevel="0" collapsed="false">
      <c r="A98" s="13" t="str">
        <f aca="false">IF(COUNT('ISV Inventory'!$AU$6:$AU$255)&lt;94,"",94)</f>
        <v/>
      </c>
      <c r="B98" s="47" t="str">
        <f aca="false">IF($A98="","",IFERROR(INDEX('ISV Inventory'!$V$6:$V$255,MATCH(SMALL('ISV Inventory'!$AU$6:$AU$255,$A98),'ISV Inventory'!$AU$6:$AU$255,0)),""))</f>
        <v/>
      </c>
      <c r="C98" s="48" t="str">
        <f aca="false">IF($A98="","",IFERROR(INDEX('ISV Inventory'!$AA$6:$AA$255,MATCH(SMALL('ISV Inventory'!$AU$6:$AU$255,$A98),'ISV Inventory'!$AU$6:$AU$255,0)),""))</f>
        <v/>
      </c>
      <c r="D98" s="13" t="str">
        <f aca="false">IF($A98="","",IFERROR(INDEX('ISV Inventory'!$AB$6:$AB$255,MATCH(SMALL('ISV Inventory'!$AU$6:$AU$255,$A98),'ISV Inventory'!$AU$6:$AU$255,0))&amp;"",""))</f>
        <v/>
      </c>
      <c r="E98" s="13" t="str">
        <f aca="false">IF($A98="","",IFERROR(INDEX('ISV Inventory'!$B$6:$B$255,MATCH(SMALL('ISV Inventory'!$AU$6:$AU$255,$A98),'ISV Inventory'!$AU$6:$AU$255,0))&amp;"",""))</f>
        <v/>
      </c>
      <c r="F98" s="13" t="str">
        <f aca="false">IF($A98="","",IFERROR(INDEX('ISV Inventory'!$F$6:$F$255,MATCH(SMALL('ISV Inventory'!$AU$6:$AU$255,$A98),'ISV Inventory'!$AU$6:$AU$255,0))&amp;"",""))</f>
        <v/>
      </c>
      <c r="G98" s="49" t="str">
        <f aca="false">IF($A98="","",IFERROR(INDEX('ISV Inventory'!$R$6:$R$255,MATCH(SMALL('ISV Inventory'!$AU$6:$AU$255,$A98),'ISV Inventory'!$AU$6:$AU$255,0)),""))</f>
        <v/>
      </c>
      <c r="H98" s="13" t="str">
        <f aca="false">IF($A98="","",IFERROR(INDEX('ISV Inventory'!$X$6:$X$255,MATCH(SMALL('ISV Inventory'!$AU$6:$AU$255,$A98),'ISV Inventory'!$AU$6:$AU$255,0))&amp;"",""))</f>
        <v/>
      </c>
      <c r="I98" s="47" t="str">
        <f aca="false">IF($A98="","",IFERROR(INDEX('ISV Inventory'!$Z$6:$Z$255,MATCH(SMALL('ISV Inventory'!$AU$6:$AU$255,$A98),'ISV Inventory'!$AU$6:$AU$255,0)),""))</f>
        <v/>
      </c>
      <c r="J98" s="13" t="str">
        <f aca="false">IF($A98="","",IFERROR(INDEX('ISV Inventory'!$AG$6:$AG$255,MATCH(SMALL('ISV Inventory'!$AU$6:$AU$255,$A98),'ISV Inventory'!$AU$6:$AU$255,0))&amp;"",""))</f>
        <v/>
      </c>
      <c r="K98" s="13" t="str">
        <f aca="false">IF($A98="","",IFERROR(INDEX('ISV Inventory'!$AK$6:$AK$255,MATCH(SMALL('ISV Inventory'!$AU$6:$AU$255,$A98),'ISV Inventory'!$AU$6:$AU$255,0))&amp;"",""))</f>
        <v/>
      </c>
      <c r="L98" s="13" t="str">
        <f aca="false">IF($A98="","",IFERROR(INDEX('ISV Inventory'!$AR$6:$AR$255,MATCH(SMALL('ISV Inventory'!$AU$6:$AU$255,$A98),'ISV Inventory'!$AU$6:$AU$255,0))&amp;"",""))</f>
        <v/>
      </c>
      <c r="M98" s="13" t="str">
        <f aca="false">IF($A98="","",IFERROR(INDEX('ISV Inventory'!$AS$6:$AS$255,MATCH(SMALL('ISV Inventory'!$AU$6:$AU$255,$A98),'ISV Inventory'!$AU$6:$AU$255,0))&amp;"",""))</f>
        <v/>
      </c>
    </row>
    <row r="99" customFormat="false" ht="15" hidden="false" customHeight="false" outlineLevel="0" collapsed="false">
      <c r="A99" s="13" t="str">
        <f aca="false">IF(COUNT('ISV Inventory'!$AU$6:$AU$255)&lt;95,"",95)</f>
        <v/>
      </c>
      <c r="B99" s="47" t="str">
        <f aca="false">IF($A99="","",IFERROR(INDEX('ISV Inventory'!$V$6:$V$255,MATCH(SMALL('ISV Inventory'!$AU$6:$AU$255,$A99),'ISV Inventory'!$AU$6:$AU$255,0)),""))</f>
        <v/>
      </c>
      <c r="C99" s="48" t="str">
        <f aca="false">IF($A99="","",IFERROR(INDEX('ISV Inventory'!$AA$6:$AA$255,MATCH(SMALL('ISV Inventory'!$AU$6:$AU$255,$A99),'ISV Inventory'!$AU$6:$AU$255,0)),""))</f>
        <v/>
      </c>
      <c r="D99" s="13" t="str">
        <f aca="false">IF($A99="","",IFERROR(INDEX('ISV Inventory'!$AB$6:$AB$255,MATCH(SMALL('ISV Inventory'!$AU$6:$AU$255,$A99),'ISV Inventory'!$AU$6:$AU$255,0))&amp;"",""))</f>
        <v/>
      </c>
      <c r="E99" s="13" t="str">
        <f aca="false">IF($A99="","",IFERROR(INDEX('ISV Inventory'!$B$6:$B$255,MATCH(SMALL('ISV Inventory'!$AU$6:$AU$255,$A99),'ISV Inventory'!$AU$6:$AU$255,0))&amp;"",""))</f>
        <v/>
      </c>
      <c r="F99" s="13" t="str">
        <f aca="false">IF($A99="","",IFERROR(INDEX('ISV Inventory'!$F$6:$F$255,MATCH(SMALL('ISV Inventory'!$AU$6:$AU$255,$A99),'ISV Inventory'!$AU$6:$AU$255,0))&amp;"",""))</f>
        <v/>
      </c>
      <c r="G99" s="49" t="str">
        <f aca="false">IF($A99="","",IFERROR(INDEX('ISV Inventory'!$R$6:$R$255,MATCH(SMALL('ISV Inventory'!$AU$6:$AU$255,$A99),'ISV Inventory'!$AU$6:$AU$255,0)),""))</f>
        <v/>
      </c>
      <c r="H99" s="13" t="str">
        <f aca="false">IF($A99="","",IFERROR(INDEX('ISV Inventory'!$X$6:$X$255,MATCH(SMALL('ISV Inventory'!$AU$6:$AU$255,$A99),'ISV Inventory'!$AU$6:$AU$255,0))&amp;"",""))</f>
        <v/>
      </c>
      <c r="I99" s="47" t="str">
        <f aca="false">IF($A99="","",IFERROR(INDEX('ISV Inventory'!$Z$6:$Z$255,MATCH(SMALL('ISV Inventory'!$AU$6:$AU$255,$A99),'ISV Inventory'!$AU$6:$AU$255,0)),""))</f>
        <v/>
      </c>
      <c r="J99" s="13" t="str">
        <f aca="false">IF($A99="","",IFERROR(INDEX('ISV Inventory'!$AG$6:$AG$255,MATCH(SMALL('ISV Inventory'!$AU$6:$AU$255,$A99),'ISV Inventory'!$AU$6:$AU$255,0))&amp;"",""))</f>
        <v/>
      </c>
      <c r="K99" s="13" t="str">
        <f aca="false">IF($A99="","",IFERROR(INDEX('ISV Inventory'!$AK$6:$AK$255,MATCH(SMALL('ISV Inventory'!$AU$6:$AU$255,$A99),'ISV Inventory'!$AU$6:$AU$255,0))&amp;"",""))</f>
        <v/>
      </c>
      <c r="L99" s="13" t="str">
        <f aca="false">IF($A99="","",IFERROR(INDEX('ISV Inventory'!$AR$6:$AR$255,MATCH(SMALL('ISV Inventory'!$AU$6:$AU$255,$A99),'ISV Inventory'!$AU$6:$AU$255,0))&amp;"",""))</f>
        <v/>
      </c>
      <c r="M99" s="13" t="str">
        <f aca="false">IF($A99="","",IFERROR(INDEX('ISV Inventory'!$AS$6:$AS$255,MATCH(SMALL('ISV Inventory'!$AU$6:$AU$255,$A99),'ISV Inventory'!$AU$6:$AU$255,0))&amp;"",""))</f>
        <v/>
      </c>
    </row>
    <row r="100" customFormat="false" ht="15" hidden="false" customHeight="false" outlineLevel="0" collapsed="false">
      <c r="A100" s="13" t="str">
        <f aca="false">IF(COUNT('ISV Inventory'!$AU$6:$AU$255)&lt;96,"",96)</f>
        <v/>
      </c>
      <c r="B100" s="47" t="str">
        <f aca="false">IF($A100="","",IFERROR(INDEX('ISV Inventory'!$V$6:$V$255,MATCH(SMALL('ISV Inventory'!$AU$6:$AU$255,$A100),'ISV Inventory'!$AU$6:$AU$255,0)),""))</f>
        <v/>
      </c>
      <c r="C100" s="48" t="str">
        <f aca="false">IF($A100="","",IFERROR(INDEX('ISV Inventory'!$AA$6:$AA$255,MATCH(SMALL('ISV Inventory'!$AU$6:$AU$255,$A100),'ISV Inventory'!$AU$6:$AU$255,0)),""))</f>
        <v/>
      </c>
      <c r="D100" s="13" t="str">
        <f aca="false">IF($A100="","",IFERROR(INDEX('ISV Inventory'!$AB$6:$AB$255,MATCH(SMALL('ISV Inventory'!$AU$6:$AU$255,$A100),'ISV Inventory'!$AU$6:$AU$255,0))&amp;"",""))</f>
        <v/>
      </c>
      <c r="E100" s="13" t="str">
        <f aca="false">IF($A100="","",IFERROR(INDEX('ISV Inventory'!$B$6:$B$255,MATCH(SMALL('ISV Inventory'!$AU$6:$AU$255,$A100),'ISV Inventory'!$AU$6:$AU$255,0))&amp;"",""))</f>
        <v/>
      </c>
      <c r="F100" s="13" t="str">
        <f aca="false">IF($A100="","",IFERROR(INDEX('ISV Inventory'!$F$6:$F$255,MATCH(SMALL('ISV Inventory'!$AU$6:$AU$255,$A100),'ISV Inventory'!$AU$6:$AU$255,0))&amp;"",""))</f>
        <v/>
      </c>
      <c r="G100" s="49" t="str">
        <f aca="false">IF($A100="","",IFERROR(INDEX('ISV Inventory'!$R$6:$R$255,MATCH(SMALL('ISV Inventory'!$AU$6:$AU$255,$A100),'ISV Inventory'!$AU$6:$AU$255,0)),""))</f>
        <v/>
      </c>
      <c r="H100" s="13" t="str">
        <f aca="false">IF($A100="","",IFERROR(INDEX('ISV Inventory'!$X$6:$X$255,MATCH(SMALL('ISV Inventory'!$AU$6:$AU$255,$A100),'ISV Inventory'!$AU$6:$AU$255,0))&amp;"",""))</f>
        <v/>
      </c>
      <c r="I100" s="47" t="str">
        <f aca="false">IF($A100="","",IFERROR(INDEX('ISV Inventory'!$Z$6:$Z$255,MATCH(SMALL('ISV Inventory'!$AU$6:$AU$255,$A100),'ISV Inventory'!$AU$6:$AU$255,0)),""))</f>
        <v/>
      </c>
      <c r="J100" s="13" t="str">
        <f aca="false">IF($A100="","",IFERROR(INDEX('ISV Inventory'!$AG$6:$AG$255,MATCH(SMALL('ISV Inventory'!$AU$6:$AU$255,$A100),'ISV Inventory'!$AU$6:$AU$255,0))&amp;"",""))</f>
        <v/>
      </c>
      <c r="K100" s="13" t="str">
        <f aca="false">IF($A100="","",IFERROR(INDEX('ISV Inventory'!$AK$6:$AK$255,MATCH(SMALL('ISV Inventory'!$AU$6:$AU$255,$A100),'ISV Inventory'!$AU$6:$AU$255,0))&amp;"",""))</f>
        <v/>
      </c>
      <c r="L100" s="13" t="str">
        <f aca="false">IF($A100="","",IFERROR(INDEX('ISV Inventory'!$AR$6:$AR$255,MATCH(SMALL('ISV Inventory'!$AU$6:$AU$255,$A100),'ISV Inventory'!$AU$6:$AU$255,0))&amp;"",""))</f>
        <v/>
      </c>
      <c r="M100" s="13" t="str">
        <f aca="false">IF($A100="","",IFERROR(INDEX('ISV Inventory'!$AS$6:$AS$255,MATCH(SMALL('ISV Inventory'!$AU$6:$AU$255,$A100),'ISV Inventory'!$AU$6:$AU$255,0))&amp;"",""))</f>
        <v/>
      </c>
    </row>
    <row r="101" customFormat="false" ht="15" hidden="false" customHeight="false" outlineLevel="0" collapsed="false">
      <c r="A101" s="13" t="str">
        <f aca="false">IF(COUNT('ISV Inventory'!$AU$6:$AU$255)&lt;97,"",97)</f>
        <v/>
      </c>
      <c r="B101" s="47" t="str">
        <f aca="false">IF($A101="","",IFERROR(INDEX('ISV Inventory'!$V$6:$V$255,MATCH(SMALL('ISV Inventory'!$AU$6:$AU$255,$A101),'ISV Inventory'!$AU$6:$AU$255,0)),""))</f>
        <v/>
      </c>
      <c r="C101" s="48" t="str">
        <f aca="false">IF($A101="","",IFERROR(INDEX('ISV Inventory'!$AA$6:$AA$255,MATCH(SMALL('ISV Inventory'!$AU$6:$AU$255,$A101),'ISV Inventory'!$AU$6:$AU$255,0)),""))</f>
        <v/>
      </c>
      <c r="D101" s="13" t="str">
        <f aca="false">IF($A101="","",IFERROR(INDEX('ISV Inventory'!$AB$6:$AB$255,MATCH(SMALL('ISV Inventory'!$AU$6:$AU$255,$A101),'ISV Inventory'!$AU$6:$AU$255,0))&amp;"",""))</f>
        <v/>
      </c>
      <c r="E101" s="13" t="str">
        <f aca="false">IF($A101="","",IFERROR(INDEX('ISV Inventory'!$B$6:$B$255,MATCH(SMALL('ISV Inventory'!$AU$6:$AU$255,$A101),'ISV Inventory'!$AU$6:$AU$255,0))&amp;"",""))</f>
        <v/>
      </c>
      <c r="F101" s="13" t="str">
        <f aca="false">IF($A101="","",IFERROR(INDEX('ISV Inventory'!$F$6:$F$255,MATCH(SMALL('ISV Inventory'!$AU$6:$AU$255,$A101),'ISV Inventory'!$AU$6:$AU$255,0))&amp;"",""))</f>
        <v/>
      </c>
      <c r="G101" s="49" t="str">
        <f aca="false">IF($A101="","",IFERROR(INDEX('ISV Inventory'!$R$6:$R$255,MATCH(SMALL('ISV Inventory'!$AU$6:$AU$255,$A101),'ISV Inventory'!$AU$6:$AU$255,0)),""))</f>
        <v/>
      </c>
      <c r="H101" s="13" t="str">
        <f aca="false">IF($A101="","",IFERROR(INDEX('ISV Inventory'!$X$6:$X$255,MATCH(SMALL('ISV Inventory'!$AU$6:$AU$255,$A101),'ISV Inventory'!$AU$6:$AU$255,0))&amp;"",""))</f>
        <v/>
      </c>
      <c r="I101" s="47" t="str">
        <f aca="false">IF($A101="","",IFERROR(INDEX('ISV Inventory'!$Z$6:$Z$255,MATCH(SMALL('ISV Inventory'!$AU$6:$AU$255,$A101),'ISV Inventory'!$AU$6:$AU$255,0)),""))</f>
        <v/>
      </c>
      <c r="J101" s="13" t="str">
        <f aca="false">IF($A101="","",IFERROR(INDEX('ISV Inventory'!$AG$6:$AG$255,MATCH(SMALL('ISV Inventory'!$AU$6:$AU$255,$A101),'ISV Inventory'!$AU$6:$AU$255,0))&amp;"",""))</f>
        <v/>
      </c>
      <c r="K101" s="13" t="str">
        <f aca="false">IF($A101="","",IFERROR(INDEX('ISV Inventory'!$AK$6:$AK$255,MATCH(SMALL('ISV Inventory'!$AU$6:$AU$255,$A101),'ISV Inventory'!$AU$6:$AU$255,0))&amp;"",""))</f>
        <v/>
      </c>
      <c r="L101" s="13" t="str">
        <f aca="false">IF($A101="","",IFERROR(INDEX('ISV Inventory'!$AR$6:$AR$255,MATCH(SMALL('ISV Inventory'!$AU$6:$AU$255,$A101),'ISV Inventory'!$AU$6:$AU$255,0))&amp;"",""))</f>
        <v/>
      </c>
      <c r="M101" s="13" t="str">
        <f aca="false">IF($A101="","",IFERROR(INDEX('ISV Inventory'!$AS$6:$AS$255,MATCH(SMALL('ISV Inventory'!$AU$6:$AU$255,$A101),'ISV Inventory'!$AU$6:$AU$255,0))&amp;"",""))</f>
        <v/>
      </c>
    </row>
    <row r="102" customFormat="false" ht="15" hidden="false" customHeight="false" outlineLevel="0" collapsed="false">
      <c r="A102" s="13" t="str">
        <f aca="false">IF(COUNT('ISV Inventory'!$AU$6:$AU$255)&lt;98,"",98)</f>
        <v/>
      </c>
      <c r="B102" s="47" t="str">
        <f aca="false">IF($A102="","",IFERROR(INDEX('ISV Inventory'!$V$6:$V$255,MATCH(SMALL('ISV Inventory'!$AU$6:$AU$255,$A102),'ISV Inventory'!$AU$6:$AU$255,0)),""))</f>
        <v/>
      </c>
      <c r="C102" s="48" t="str">
        <f aca="false">IF($A102="","",IFERROR(INDEX('ISV Inventory'!$AA$6:$AA$255,MATCH(SMALL('ISV Inventory'!$AU$6:$AU$255,$A102),'ISV Inventory'!$AU$6:$AU$255,0)),""))</f>
        <v/>
      </c>
      <c r="D102" s="13" t="str">
        <f aca="false">IF($A102="","",IFERROR(INDEX('ISV Inventory'!$AB$6:$AB$255,MATCH(SMALL('ISV Inventory'!$AU$6:$AU$255,$A102),'ISV Inventory'!$AU$6:$AU$255,0))&amp;"",""))</f>
        <v/>
      </c>
      <c r="E102" s="13" t="str">
        <f aca="false">IF($A102="","",IFERROR(INDEX('ISV Inventory'!$B$6:$B$255,MATCH(SMALL('ISV Inventory'!$AU$6:$AU$255,$A102),'ISV Inventory'!$AU$6:$AU$255,0))&amp;"",""))</f>
        <v/>
      </c>
      <c r="F102" s="13" t="str">
        <f aca="false">IF($A102="","",IFERROR(INDEX('ISV Inventory'!$F$6:$F$255,MATCH(SMALL('ISV Inventory'!$AU$6:$AU$255,$A102),'ISV Inventory'!$AU$6:$AU$255,0))&amp;"",""))</f>
        <v/>
      </c>
      <c r="G102" s="49" t="str">
        <f aca="false">IF($A102="","",IFERROR(INDEX('ISV Inventory'!$R$6:$R$255,MATCH(SMALL('ISV Inventory'!$AU$6:$AU$255,$A102),'ISV Inventory'!$AU$6:$AU$255,0)),""))</f>
        <v/>
      </c>
      <c r="H102" s="13" t="str">
        <f aca="false">IF($A102="","",IFERROR(INDEX('ISV Inventory'!$X$6:$X$255,MATCH(SMALL('ISV Inventory'!$AU$6:$AU$255,$A102),'ISV Inventory'!$AU$6:$AU$255,0))&amp;"",""))</f>
        <v/>
      </c>
      <c r="I102" s="47" t="str">
        <f aca="false">IF($A102="","",IFERROR(INDEX('ISV Inventory'!$Z$6:$Z$255,MATCH(SMALL('ISV Inventory'!$AU$6:$AU$255,$A102),'ISV Inventory'!$AU$6:$AU$255,0)),""))</f>
        <v/>
      </c>
      <c r="J102" s="13" t="str">
        <f aca="false">IF($A102="","",IFERROR(INDEX('ISV Inventory'!$AG$6:$AG$255,MATCH(SMALL('ISV Inventory'!$AU$6:$AU$255,$A102),'ISV Inventory'!$AU$6:$AU$255,0))&amp;"",""))</f>
        <v/>
      </c>
      <c r="K102" s="13" t="str">
        <f aca="false">IF($A102="","",IFERROR(INDEX('ISV Inventory'!$AK$6:$AK$255,MATCH(SMALL('ISV Inventory'!$AU$6:$AU$255,$A102),'ISV Inventory'!$AU$6:$AU$255,0))&amp;"",""))</f>
        <v/>
      </c>
      <c r="L102" s="13" t="str">
        <f aca="false">IF($A102="","",IFERROR(INDEX('ISV Inventory'!$AR$6:$AR$255,MATCH(SMALL('ISV Inventory'!$AU$6:$AU$255,$A102),'ISV Inventory'!$AU$6:$AU$255,0))&amp;"",""))</f>
        <v/>
      </c>
      <c r="M102" s="13" t="str">
        <f aca="false">IF($A102="","",IFERROR(INDEX('ISV Inventory'!$AS$6:$AS$255,MATCH(SMALL('ISV Inventory'!$AU$6:$AU$255,$A102),'ISV Inventory'!$AU$6:$AU$255,0))&amp;"",""))</f>
        <v/>
      </c>
    </row>
    <row r="103" customFormat="false" ht="15" hidden="false" customHeight="false" outlineLevel="0" collapsed="false">
      <c r="A103" s="13" t="str">
        <f aca="false">IF(COUNT('ISV Inventory'!$AU$6:$AU$255)&lt;99,"",99)</f>
        <v/>
      </c>
      <c r="B103" s="47" t="str">
        <f aca="false">IF($A103="","",IFERROR(INDEX('ISV Inventory'!$V$6:$V$255,MATCH(SMALL('ISV Inventory'!$AU$6:$AU$255,$A103),'ISV Inventory'!$AU$6:$AU$255,0)),""))</f>
        <v/>
      </c>
      <c r="C103" s="48" t="str">
        <f aca="false">IF($A103="","",IFERROR(INDEX('ISV Inventory'!$AA$6:$AA$255,MATCH(SMALL('ISV Inventory'!$AU$6:$AU$255,$A103),'ISV Inventory'!$AU$6:$AU$255,0)),""))</f>
        <v/>
      </c>
      <c r="D103" s="13" t="str">
        <f aca="false">IF($A103="","",IFERROR(INDEX('ISV Inventory'!$AB$6:$AB$255,MATCH(SMALL('ISV Inventory'!$AU$6:$AU$255,$A103),'ISV Inventory'!$AU$6:$AU$255,0))&amp;"",""))</f>
        <v/>
      </c>
      <c r="E103" s="13" t="str">
        <f aca="false">IF($A103="","",IFERROR(INDEX('ISV Inventory'!$B$6:$B$255,MATCH(SMALL('ISV Inventory'!$AU$6:$AU$255,$A103),'ISV Inventory'!$AU$6:$AU$255,0))&amp;"",""))</f>
        <v/>
      </c>
      <c r="F103" s="13" t="str">
        <f aca="false">IF($A103="","",IFERROR(INDEX('ISV Inventory'!$F$6:$F$255,MATCH(SMALL('ISV Inventory'!$AU$6:$AU$255,$A103),'ISV Inventory'!$AU$6:$AU$255,0))&amp;"",""))</f>
        <v/>
      </c>
      <c r="G103" s="49" t="str">
        <f aca="false">IF($A103="","",IFERROR(INDEX('ISV Inventory'!$R$6:$R$255,MATCH(SMALL('ISV Inventory'!$AU$6:$AU$255,$A103),'ISV Inventory'!$AU$6:$AU$255,0)),""))</f>
        <v/>
      </c>
      <c r="H103" s="13" t="str">
        <f aca="false">IF($A103="","",IFERROR(INDEX('ISV Inventory'!$X$6:$X$255,MATCH(SMALL('ISV Inventory'!$AU$6:$AU$255,$A103),'ISV Inventory'!$AU$6:$AU$255,0))&amp;"",""))</f>
        <v/>
      </c>
      <c r="I103" s="47" t="str">
        <f aca="false">IF($A103="","",IFERROR(INDEX('ISV Inventory'!$Z$6:$Z$255,MATCH(SMALL('ISV Inventory'!$AU$6:$AU$255,$A103),'ISV Inventory'!$AU$6:$AU$255,0)),""))</f>
        <v/>
      </c>
      <c r="J103" s="13" t="str">
        <f aca="false">IF($A103="","",IFERROR(INDEX('ISV Inventory'!$AG$6:$AG$255,MATCH(SMALL('ISV Inventory'!$AU$6:$AU$255,$A103),'ISV Inventory'!$AU$6:$AU$255,0))&amp;"",""))</f>
        <v/>
      </c>
      <c r="K103" s="13" t="str">
        <f aca="false">IF($A103="","",IFERROR(INDEX('ISV Inventory'!$AK$6:$AK$255,MATCH(SMALL('ISV Inventory'!$AU$6:$AU$255,$A103),'ISV Inventory'!$AU$6:$AU$255,0))&amp;"",""))</f>
        <v/>
      </c>
      <c r="L103" s="13" t="str">
        <f aca="false">IF($A103="","",IFERROR(INDEX('ISV Inventory'!$AR$6:$AR$255,MATCH(SMALL('ISV Inventory'!$AU$6:$AU$255,$A103),'ISV Inventory'!$AU$6:$AU$255,0))&amp;"",""))</f>
        <v/>
      </c>
      <c r="M103" s="13" t="str">
        <f aca="false">IF($A103="","",IFERROR(INDEX('ISV Inventory'!$AS$6:$AS$255,MATCH(SMALL('ISV Inventory'!$AU$6:$AU$255,$A103),'ISV Inventory'!$AU$6:$AU$255,0))&amp;"",""))</f>
        <v/>
      </c>
    </row>
    <row r="104" customFormat="false" ht="15" hidden="false" customHeight="false" outlineLevel="0" collapsed="false">
      <c r="A104" s="13" t="str">
        <f aca="false">IF(COUNT('ISV Inventory'!$AU$6:$AU$255)&lt;100,"",100)</f>
        <v/>
      </c>
      <c r="B104" s="47" t="str">
        <f aca="false">IF($A104="","",IFERROR(INDEX('ISV Inventory'!$V$6:$V$255,MATCH(SMALL('ISV Inventory'!$AU$6:$AU$255,$A104),'ISV Inventory'!$AU$6:$AU$255,0)),""))</f>
        <v/>
      </c>
      <c r="C104" s="48" t="str">
        <f aca="false">IF($A104="","",IFERROR(INDEX('ISV Inventory'!$AA$6:$AA$255,MATCH(SMALL('ISV Inventory'!$AU$6:$AU$255,$A104),'ISV Inventory'!$AU$6:$AU$255,0)),""))</f>
        <v/>
      </c>
      <c r="D104" s="13" t="str">
        <f aca="false">IF($A104="","",IFERROR(INDEX('ISV Inventory'!$AB$6:$AB$255,MATCH(SMALL('ISV Inventory'!$AU$6:$AU$255,$A104),'ISV Inventory'!$AU$6:$AU$255,0))&amp;"",""))</f>
        <v/>
      </c>
      <c r="E104" s="13" t="str">
        <f aca="false">IF($A104="","",IFERROR(INDEX('ISV Inventory'!$B$6:$B$255,MATCH(SMALL('ISV Inventory'!$AU$6:$AU$255,$A104),'ISV Inventory'!$AU$6:$AU$255,0))&amp;"",""))</f>
        <v/>
      </c>
      <c r="F104" s="13" t="str">
        <f aca="false">IF($A104="","",IFERROR(INDEX('ISV Inventory'!$F$6:$F$255,MATCH(SMALL('ISV Inventory'!$AU$6:$AU$255,$A104),'ISV Inventory'!$AU$6:$AU$255,0))&amp;"",""))</f>
        <v/>
      </c>
      <c r="G104" s="49" t="str">
        <f aca="false">IF($A104="","",IFERROR(INDEX('ISV Inventory'!$R$6:$R$255,MATCH(SMALL('ISV Inventory'!$AU$6:$AU$255,$A104),'ISV Inventory'!$AU$6:$AU$255,0)),""))</f>
        <v/>
      </c>
      <c r="H104" s="13" t="str">
        <f aca="false">IF($A104="","",IFERROR(INDEX('ISV Inventory'!$X$6:$X$255,MATCH(SMALL('ISV Inventory'!$AU$6:$AU$255,$A104),'ISV Inventory'!$AU$6:$AU$255,0))&amp;"",""))</f>
        <v/>
      </c>
      <c r="I104" s="47" t="str">
        <f aca="false">IF($A104="","",IFERROR(INDEX('ISV Inventory'!$Z$6:$Z$255,MATCH(SMALL('ISV Inventory'!$AU$6:$AU$255,$A104),'ISV Inventory'!$AU$6:$AU$255,0)),""))</f>
        <v/>
      </c>
      <c r="J104" s="13" t="str">
        <f aca="false">IF($A104="","",IFERROR(INDEX('ISV Inventory'!$AG$6:$AG$255,MATCH(SMALL('ISV Inventory'!$AU$6:$AU$255,$A104),'ISV Inventory'!$AU$6:$AU$255,0))&amp;"",""))</f>
        <v/>
      </c>
      <c r="K104" s="13" t="str">
        <f aca="false">IF($A104="","",IFERROR(INDEX('ISV Inventory'!$AK$6:$AK$255,MATCH(SMALL('ISV Inventory'!$AU$6:$AU$255,$A104),'ISV Inventory'!$AU$6:$AU$255,0))&amp;"",""))</f>
        <v/>
      </c>
      <c r="L104" s="13" t="str">
        <f aca="false">IF($A104="","",IFERROR(INDEX('ISV Inventory'!$AR$6:$AR$255,MATCH(SMALL('ISV Inventory'!$AU$6:$AU$255,$A104),'ISV Inventory'!$AU$6:$AU$255,0))&amp;"",""))</f>
        <v/>
      </c>
      <c r="M104" s="13" t="str">
        <f aca="false">IF($A104="","",IFERROR(INDEX('ISV Inventory'!$AS$6:$AS$255,MATCH(SMALL('ISV Inventory'!$AU$6:$AU$255,$A104),'ISV Inventory'!$AU$6:$AU$255,0))&amp;"",""))</f>
        <v/>
      </c>
    </row>
    <row r="105" customFormat="false" ht="15" hidden="false" customHeight="false" outlineLevel="0" collapsed="false">
      <c r="A105" s="13" t="str">
        <f aca="false">IF(COUNT('ISV Inventory'!$AU$6:$AU$255)&lt;101,"",101)</f>
        <v/>
      </c>
      <c r="B105" s="47" t="str">
        <f aca="false">IF($A105="","",IFERROR(INDEX('ISV Inventory'!$V$6:$V$255,MATCH(SMALL('ISV Inventory'!$AU$6:$AU$255,$A105),'ISV Inventory'!$AU$6:$AU$255,0)),""))</f>
        <v/>
      </c>
      <c r="C105" s="48" t="str">
        <f aca="false">IF($A105="","",IFERROR(INDEX('ISV Inventory'!$AA$6:$AA$255,MATCH(SMALL('ISV Inventory'!$AU$6:$AU$255,$A105),'ISV Inventory'!$AU$6:$AU$255,0)),""))</f>
        <v/>
      </c>
      <c r="D105" s="13" t="str">
        <f aca="false">IF($A105="","",IFERROR(INDEX('ISV Inventory'!$AB$6:$AB$255,MATCH(SMALL('ISV Inventory'!$AU$6:$AU$255,$A105),'ISV Inventory'!$AU$6:$AU$255,0))&amp;"",""))</f>
        <v/>
      </c>
      <c r="E105" s="13" t="str">
        <f aca="false">IF($A105="","",IFERROR(INDEX('ISV Inventory'!$B$6:$B$255,MATCH(SMALL('ISV Inventory'!$AU$6:$AU$255,$A105),'ISV Inventory'!$AU$6:$AU$255,0))&amp;"",""))</f>
        <v/>
      </c>
      <c r="F105" s="13" t="str">
        <f aca="false">IF($A105="","",IFERROR(INDEX('ISV Inventory'!$F$6:$F$255,MATCH(SMALL('ISV Inventory'!$AU$6:$AU$255,$A105),'ISV Inventory'!$AU$6:$AU$255,0))&amp;"",""))</f>
        <v/>
      </c>
      <c r="G105" s="49" t="str">
        <f aca="false">IF($A105="","",IFERROR(INDEX('ISV Inventory'!$R$6:$R$255,MATCH(SMALL('ISV Inventory'!$AU$6:$AU$255,$A105),'ISV Inventory'!$AU$6:$AU$255,0)),""))</f>
        <v/>
      </c>
      <c r="H105" s="13" t="str">
        <f aca="false">IF($A105="","",IFERROR(INDEX('ISV Inventory'!$X$6:$X$255,MATCH(SMALL('ISV Inventory'!$AU$6:$AU$255,$A105),'ISV Inventory'!$AU$6:$AU$255,0))&amp;"",""))</f>
        <v/>
      </c>
      <c r="I105" s="47" t="str">
        <f aca="false">IF($A105="","",IFERROR(INDEX('ISV Inventory'!$Z$6:$Z$255,MATCH(SMALL('ISV Inventory'!$AU$6:$AU$255,$A105),'ISV Inventory'!$AU$6:$AU$255,0)),""))</f>
        <v/>
      </c>
      <c r="J105" s="13" t="str">
        <f aca="false">IF($A105="","",IFERROR(INDEX('ISV Inventory'!$AG$6:$AG$255,MATCH(SMALL('ISV Inventory'!$AU$6:$AU$255,$A105),'ISV Inventory'!$AU$6:$AU$255,0))&amp;"",""))</f>
        <v/>
      </c>
      <c r="K105" s="13" t="str">
        <f aca="false">IF($A105="","",IFERROR(INDEX('ISV Inventory'!$AK$6:$AK$255,MATCH(SMALL('ISV Inventory'!$AU$6:$AU$255,$A105),'ISV Inventory'!$AU$6:$AU$255,0))&amp;"",""))</f>
        <v/>
      </c>
      <c r="L105" s="13" t="str">
        <f aca="false">IF($A105="","",IFERROR(INDEX('ISV Inventory'!$AR$6:$AR$255,MATCH(SMALL('ISV Inventory'!$AU$6:$AU$255,$A105),'ISV Inventory'!$AU$6:$AU$255,0))&amp;"",""))</f>
        <v/>
      </c>
      <c r="M105" s="13" t="str">
        <f aca="false">IF($A105="","",IFERROR(INDEX('ISV Inventory'!$AS$6:$AS$255,MATCH(SMALL('ISV Inventory'!$AU$6:$AU$255,$A105),'ISV Inventory'!$AU$6:$AU$255,0))&amp;"",""))</f>
        <v/>
      </c>
    </row>
    <row r="106" customFormat="false" ht="15" hidden="false" customHeight="false" outlineLevel="0" collapsed="false">
      <c r="A106" s="13" t="str">
        <f aca="false">IF(COUNT('ISV Inventory'!$AU$6:$AU$255)&lt;102,"",102)</f>
        <v/>
      </c>
      <c r="B106" s="47" t="str">
        <f aca="false">IF($A106="","",IFERROR(INDEX('ISV Inventory'!$V$6:$V$255,MATCH(SMALL('ISV Inventory'!$AU$6:$AU$255,$A106),'ISV Inventory'!$AU$6:$AU$255,0)),""))</f>
        <v/>
      </c>
      <c r="C106" s="48" t="str">
        <f aca="false">IF($A106="","",IFERROR(INDEX('ISV Inventory'!$AA$6:$AA$255,MATCH(SMALL('ISV Inventory'!$AU$6:$AU$255,$A106),'ISV Inventory'!$AU$6:$AU$255,0)),""))</f>
        <v/>
      </c>
      <c r="D106" s="13" t="str">
        <f aca="false">IF($A106="","",IFERROR(INDEX('ISV Inventory'!$AB$6:$AB$255,MATCH(SMALL('ISV Inventory'!$AU$6:$AU$255,$A106),'ISV Inventory'!$AU$6:$AU$255,0))&amp;"",""))</f>
        <v/>
      </c>
      <c r="E106" s="13" t="str">
        <f aca="false">IF($A106="","",IFERROR(INDEX('ISV Inventory'!$B$6:$B$255,MATCH(SMALL('ISV Inventory'!$AU$6:$AU$255,$A106),'ISV Inventory'!$AU$6:$AU$255,0))&amp;"",""))</f>
        <v/>
      </c>
      <c r="F106" s="13" t="str">
        <f aca="false">IF($A106="","",IFERROR(INDEX('ISV Inventory'!$F$6:$F$255,MATCH(SMALL('ISV Inventory'!$AU$6:$AU$255,$A106),'ISV Inventory'!$AU$6:$AU$255,0))&amp;"",""))</f>
        <v/>
      </c>
      <c r="G106" s="49" t="str">
        <f aca="false">IF($A106="","",IFERROR(INDEX('ISV Inventory'!$R$6:$R$255,MATCH(SMALL('ISV Inventory'!$AU$6:$AU$255,$A106),'ISV Inventory'!$AU$6:$AU$255,0)),""))</f>
        <v/>
      </c>
      <c r="H106" s="13" t="str">
        <f aca="false">IF($A106="","",IFERROR(INDEX('ISV Inventory'!$X$6:$X$255,MATCH(SMALL('ISV Inventory'!$AU$6:$AU$255,$A106),'ISV Inventory'!$AU$6:$AU$255,0))&amp;"",""))</f>
        <v/>
      </c>
      <c r="I106" s="47" t="str">
        <f aca="false">IF($A106="","",IFERROR(INDEX('ISV Inventory'!$Z$6:$Z$255,MATCH(SMALL('ISV Inventory'!$AU$6:$AU$255,$A106),'ISV Inventory'!$AU$6:$AU$255,0)),""))</f>
        <v/>
      </c>
      <c r="J106" s="13" t="str">
        <f aca="false">IF($A106="","",IFERROR(INDEX('ISV Inventory'!$AG$6:$AG$255,MATCH(SMALL('ISV Inventory'!$AU$6:$AU$255,$A106),'ISV Inventory'!$AU$6:$AU$255,0))&amp;"",""))</f>
        <v/>
      </c>
      <c r="K106" s="13" t="str">
        <f aca="false">IF($A106="","",IFERROR(INDEX('ISV Inventory'!$AK$6:$AK$255,MATCH(SMALL('ISV Inventory'!$AU$6:$AU$255,$A106),'ISV Inventory'!$AU$6:$AU$255,0))&amp;"",""))</f>
        <v/>
      </c>
      <c r="L106" s="13" t="str">
        <f aca="false">IF($A106="","",IFERROR(INDEX('ISV Inventory'!$AR$6:$AR$255,MATCH(SMALL('ISV Inventory'!$AU$6:$AU$255,$A106),'ISV Inventory'!$AU$6:$AU$255,0))&amp;"",""))</f>
        <v/>
      </c>
      <c r="M106" s="13" t="str">
        <f aca="false">IF($A106="","",IFERROR(INDEX('ISV Inventory'!$AS$6:$AS$255,MATCH(SMALL('ISV Inventory'!$AU$6:$AU$255,$A106),'ISV Inventory'!$AU$6:$AU$255,0))&amp;"",""))</f>
        <v/>
      </c>
    </row>
    <row r="107" customFormat="false" ht="15" hidden="false" customHeight="false" outlineLevel="0" collapsed="false">
      <c r="A107" s="13" t="str">
        <f aca="false">IF(COUNT('ISV Inventory'!$AU$6:$AU$255)&lt;103,"",103)</f>
        <v/>
      </c>
      <c r="B107" s="47" t="str">
        <f aca="false">IF($A107="","",IFERROR(INDEX('ISV Inventory'!$V$6:$V$255,MATCH(SMALL('ISV Inventory'!$AU$6:$AU$255,$A107),'ISV Inventory'!$AU$6:$AU$255,0)),""))</f>
        <v/>
      </c>
      <c r="C107" s="48" t="str">
        <f aca="false">IF($A107="","",IFERROR(INDEX('ISV Inventory'!$AA$6:$AA$255,MATCH(SMALL('ISV Inventory'!$AU$6:$AU$255,$A107),'ISV Inventory'!$AU$6:$AU$255,0)),""))</f>
        <v/>
      </c>
      <c r="D107" s="13" t="str">
        <f aca="false">IF($A107="","",IFERROR(INDEX('ISV Inventory'!$AB$6:$AB$255,MATCH(SMALL('ISV Inventory'!$AU$6:$AU$255,$A107),'ISV Inventory'!$AU$6:$AU$255,0))&amp;"",""))</f>
        <v/>
      </c>
      <c r="E107" s="13" t="str">
        <f aca="false">IF($A107="","",IFERROR(INDEX('ISV Inventory'!$B$6:$B$255,MATCH(SMALL('ISV Inventory'!$AU$6:$AU$255,$A107),'ISV Inventory'!$AU$6:$AU$255,0))&amp;"",""))</f>
        <v/>
      </c>
      <c r="F107" s="13" t="str">
        <f aca="false">IF($A107="","",IFERROR(INDEX('ISV Inventory'!$F$6:$F$255,MATCH(SMALL('ISV Inventory'!$AU$6:$AU$255,$A107),'ISV Inventory'!$AU$6:$AU$255,0))&amp;"",""))</f>
        <v/>
      </c>
      <c r="G107" s="49" t="str">
        <f aca="false">IF($A107="","",IFERROR(INDEX('ISV Inventory'!$R$6:$R$255,MATCH(SMALL('ISV Inventory'!$AU$6:$AU$255,$A107),'ISV Inventory'!$AU$6:$AU$255,0)),""))</f>
        <v/>
      </c>
      <c r="H107" s="13" t="str">
        <f aca="false">IF($A107="","",IFERROR(INDEX('ISV Inventory'!$X$6:$X$255,MATCH(SMALL('ISV Inventory'!$AU$6:$AU$255,$A107),'ISV Inventory'!$AU$6:$AU$255,0))&amp;"",""))</f>
        <v/>
      </c>
      <c r="I107" s="47" t="str">
        <f aca="false">IF($A107="","",IFERROR(INDEX('ISV Inventory'!$Z$6:$Z$255,MATCH(SMALL('ISV Inventory'!$AU$6:$AU$255,$A107),'ISV Inventory'!$AU$6:$AU$255,0)),""))</f>
        <v/>
      </c>
      <c r="J107" s="13" t="str">
        <f aca="false">IF($A107="","",IFERROR(INDEX('ISV Inventory'!$AG$6:$AG$255,MATCH(SMALL('ISV Inventory'!$AU$6:$AU$255,$A107),'ISV Inventory'!$AU$6:$AU$255,0))&amp;"",""))</f>
        <v/>
      </c>
      <c r="K107" s="13" t="str">
        <f aca="false">IF($A107="","",IFERROR(INDEX('ISV Inventory'!$AK$6:$AK$255,MATCH(SMALL('ISV Inventory'!$AU$6:$AU$255,$A107),'ISV Inventory'!$AU$6:$AU$255,0))&amp;"",""))</f>
        <v/>
      </c>
      <c r="L107" s="13" t="str">
        <f aca="false">IF($A107="","",IFERROR(INDEX('ISV Inventory'!$AR$6:$AR$255,MATCH(SMALL('ISV Inventory'!$AU$6:$AU$255,$A107),'ISV Inventory'!$AU$6:$AU$255,0))&amp;"",""))</f>
        <v/>
      </c>
      <c r="M107" s="13" t="str">
        <f aca="false">IF($A107="","",IFERROR(INDEX('ISV Inventory'!$AS$6:$AS$255,MATCH(SMALL('ISV Inventory'!$AU$6:$AU$255,$A107),'ISV Inventory'!$AU$6:$AU$255,0))&amp;"",""))</f>
        <v/>
      </c>
    </row>
    <row r="108" customFormat="false" ht="15" hidden="false" customHeight="false" outlineLevel="0" collapsed="false">
      <c r="A108" s="13" t="str">
        <f aca="false">IF(COUNT('ISV Inventory'!$AU$6:$AU$255)&lt;104,"",104)</f>
        <v/>
      </c>
      <c r="B108" s="47" t="str">
        <f aca="false">IF($A108="","",IFERROR(INDEX('ISV Inventory'!$V$6:$V$255,MATCH(SMALL('ISV Inventory'!$AU$6:$AU$255,$A108),'ISV Inventory'!$AU$6:$AU$255,0)),""))</f>
        <v/>
      </c>
      <c r="C108" s="48" t="str">
        <f aca="false">IF($A108="","",IFERROR(INDEX('ISV Inventory'!$AA$6:$AA$255,MATCH(SMALL('ISV Inventory'!$AU$6:$AU$255,$A108),'ISV Inventory'!$AU$6:$AU$255,0)),""))</f>
        <v/>
      </c>
      <c r="D108" s="13" t="str">
        <f aca="false">IF($A108="","",IFERROR(INDEX('ISV Inventory'!$AB$6:$AB$255,MATCH(SMALL('ISV Inventory'!$AU$6:$AU$255,$A108),'ISV Inventory'!$AU$6:$AU$255,0))&amp;"",""))</f>
        <v/>
      </c>
      <c r="E108" s="13" t="str">
        <f aca="false">IF($A108="","",IFERROR(INDEX('ISV Inventory'!$B$6:$B$255,MATCH(SMALL('ISV Inventory'!$AU$6:$AU$255,$A108),'ISV Inventory'!$AU$6:$AU$255,0))&amp;"",""))</f>
        <v/>
      </c>
      <c r="F108" s="13" t="str">
        <f aca="false">IF($A108="","",IFERROR(INDEX('ISV Inventory'!$F$6:$F$255,MATCH(SMALL('ISV Inventory'!$AU$6:$AU$255,$A108),'ISV Inventory'!$AU$6:$AU$255,0))&amp;"",""))</f>
        <v/>
      </c>
      <c r="G108" s="49" t="str">
        <f aca="false">IF($A108="","",IFERROR(INDEX('ISV Inventory'!$R$6:$R$255,MATCH(SMALL('ISV Inventory'!$AU$6:$AU$255,$A108),'ISV Inventory'!$AU$6:$AU$255,0)),""))</f>
        <v/>
      </c>
      <c r="H108" s="13" t="str">
        <f aca="false">IF($A108="","",IFERROR(INDEX('ISV Inventory'!$X$6:$X$255,MATCH(SMALL('ISV Inventory'!$AU$6:$AU$255,$A108),'ISV Inventory'!$AU$6:$AU$255,0))&amp;"",""))</f>
        <v/>
      </c>
      <c r="I108" s="47" t="str">
        <f aca="false">IF($A108="","",IFERROR(INDEX('ISV Inventory'!$Z$6:$Z$255,MATCH(SMALL('ISV Inventory'!$AU$6:$AU$255,$A108),'ISV Inventory'!$AU$6:$AU$255,0)),""))</f>
        <v/>
      </c>
      <c r="J108" s="13" t="str">
        <f aca="false">IF($A108="","",IFERROR(INDEX('ISV Inventory'!$AG$6:$AG$255,MATCH(SMALL('ISV Inventory'!$AU$6:$AU$255,$A108),'ISV Inventory'!$AU$6:$AU$255,0))&amp;"",""))</f>
        <v/>
      </c>
      <c r="K108" s="13" t="str">
        <f aca="false">IF($A108="","",IFERROR(INDEX('ISV Inventory'!$AK$6:$AK$255,MATCH(SMALL('ISV Inventory'!$AU$6:$AU$255,$A108),'ISV Inventory'!$AU$6:$AU$255,0))&amp;"",""))</f>
        <v/>
      </c>
      <c r="L108" s="13" t="str">
        <f aca="false">IF($A108="","",IFERROR(INDEX('ISV Inventory'!$AR$6:$AR$255,MATCH(SMALL('ISV Inventory'!$AU$6:$AU$255,$A108),'ISV Inventory'!$AU$6:$AU$255,0))&amp;"",""))</f>
        <v/>
      </c>
      <c r="M108" s="13" t="str">
        <f aca="false">IF($A108="","",IFERROR(INDEX('ISV Inventory'!$AS$6:$AS$255,MATCH(SMALL('ISV Inventory'!$AU$6:$AU$255,$A108),'ISV Inventory'!$AU$6:$AU$255,0))&amp;"",""))</f>
        <v/>
      </c>
    </row>
    <row r="109" customFormat="false" ht="15" hidden="false" customHeight="false" outlineLevel="0" collapsed="false">
      <c r="A109" s="13" t="str">
        <f aca="false">IF(COUNT('ISV Inventory'!$AU$6:$AU$255)&lt;105,"",105)</f>
        <v/>
      </c>
      <c r="B109" s="47" t="str">
        <f aca="false">IF($A109="","",IFERROR(INDEX('ISV Inventory'!$V$6:$V$255,MATCH(SMALL('ISV Inventory'!$AU$6:$AU$255,$A109),'ISV Inventory'!$AU$6:$AU$255,0)),""))</f>
        <v/>
      </c>
      <c r="C109" s="48" t="str">
        <f aca="false">IF($A109="","",IFERROR(INDEX('ISV Inventory'!$AA$6:$AA$255,MATCH(SMALL('ISV Inventory'!$AU$6:$AU$255,$A109),'ISV Inventory'!$AU$6:$AU$255,0)),""))</f>
        <v/>
      </c>
      <c r="D109" s="13" t="str">
        <f aca="false">IF($A109="","",IFERROR(INDEX('ISV Inventory'!$AB$6:$AB$255,MATCH(SMALL('ISV Inventory'!$AU$6:$AU$255,$A109),'ISV Inventory'!$AU$6:$AU$255,0))&amp;"",""))</f>
        <v/>
      </c>
      <c r="E109" s="13" t="str">
        <f aca="false">IF($A109="","",IFERROR(INDEX('ISV Inventory'!$B$6:$B$255,MATCH(SMALL('ISV Inventory'!$AU$6:$AU$255,$A109),'ISV Inventory'!$AU$6:$AU$255,0))&amp;"",""))</f>
        <v/>
      </c>
      <c r="F109" s="13" t="str">
        <f aca="false">IF($A109="","",IFERROR(INDEX('ISV Inventory'!$F$6:$F$255,MATCH(SMALL('ISV Inventory'!$AU$6:$AU$255,$A109),'ISV Inventory'!$AU$6:$AU$255,0))&amp;"",""))</f>
        <v/>
      </c>
      <c r="G109" s="49" t="str">
        <f aca="false">IF($A109="","",IFERROR(INDEX('ISV Inventory'!$R$6:$R$255,MATCH(SMALL('ISV Inventory'!$AU$6:$AU$255,$A109),'ISV Inventory'!$AU$6:$AU$255,0)),""))</f>
        <v/>
      </c>
      <c r="H109" s="13" t="str">
        <f aca="false">IF($A109="","",IFERROR(INDEX('ISV Inventory'!$X$6:$X$255,MATCH(SMALL('ISV Inventory'!$AU$6:$AU$255,$A109),'ISV Inventory'!$AU$6:$AU$255,0))&amp;"",""))</f>
        <v/>
      </c>
      <c r="I109" s="47" t="str">
        <f aca="false">IF($A109="","",IFERROR(INDEX('ISV Inventory'!$Z$6:$Z$255,MATCH(SMALL('ISV Inventory'!$AU$6:$AU$255,$A109),'ISV Inventory'!$AU$6:$AU$255,0)),""))</f>
        <v/>
      </c>
      <c r="J109" s="13" t="str">
        <f aca="false">IF($A109="","",IFERROR(INDEX('ISV Inventory'!$AG$6:$AG$255,MATCH(SMALL('ISV Inventory'!$AU$6:$AU$255,$A109),'ISV Inventory'!$AU$6:$AU$255,0))&amp;"",""))</f>
        <v/>
      </c>
      <c r="K109" s="13" t="str">
        <f aca="false">IF($A109="","",IFERROR(INDEX('ISV Inventory'!$AK$6:$AK$255,MATCH(SMALL('ISV Inventory'!$AU$6:$AU$255,$A109),'ISV Inventory'!$AU$6:$AU$255,0))&amp;"",""))</f>
        <v/>
      </c>
      <c r="L109" s="13" t="str">
        <f aca="false">IF($A109="","",IFERROR(INDEX('ISV Inventory'!$AR$6:$AR$255,MATCH(SMALL('ISV Inventory'!$AU$6:$AU$255,$A109),'ISV Inventory'!$AU$6:$AU$255,0))&amp;"",""))</f>
        <v/>
      </c>
      <c r="M109" s="13" t="str">
        <f aca="false">IF($A109="","",IFERROR(INDEX('ISV Inventory'!$AS$6:$AS$255,MATCH(SMALL('ISV Inventory'!$AU$6:$AU$255,$A109),'ISV Inventory'!$AU$6:$AU$255,0))&amp;"",""))</f>
        <v/>
      </c>
    </row>
    <row r="110" customFormat="false" ht="15" hidden="false" customHeight="false" outlineLevel="0" collapsed="false">
      <c r="A110" s="13" t="str">
        <f aca="false">IF(COUNT('ISV Inventory'!$AU$6:$AU$255)&lt;106,"",106)</f>
        <v/>
      </c>
      <c r="B110" s="47" t="str">
        <f aca="false">IF($A110="","",IFERROR(INDEX('ISV Inventory'!$V$6:$V$255,MATCH(SMALL('ISV Inventory'!$AU$6:$AU$255,$A110),'ISV Inventory'!$AU$6:$AU$255,0)),""))</f>
        <v/>
      </c>
      <c r="C110" s="48" t="str">
        <f aca="false">IF($A110="","",IFERROR(INDEX('ISV Inventory'!$AA$6:$AA$255,MATCH(SMALL('ISV Inventory'!$AU$6:$AU$255,$A110),'ISV Inventory'!$AU$6:$AU$255,0)),""))</f>
        <v/>
      </c>
      <c r="D110" s="13" t="str">
        <f aca="false">IF($A110="","",IFERROR(INDEX('ISV Inventory'!$AB$6:$AB$255,MATCH(SMALL('ISV Inventory'!$AU$6:$AU$255,$A110),'ISV Inventory'!$AU$6:$AU$255,0))&amp;"",""))</f>
        <v/>
      </c>
      <c r="E110" s="13" t="str">
        <f aca="false">IF($A110="","",IFERROR(INDEX('ISV Inventory'!$B$6:$B$255,MATCH(SMALL('ISV Inventory'!$AU$6:$AU$255,$A110),'ISV Inventory'!$AU$6:$AU$255,0))&amp;"",""))</f>
        <v/>
      </c>
      <c r="F110" s="13" t="str">
        <f aca="false">IF($A110="","",IFERROR(INDEX('ISV Inventory'!$F$6:$F$255,MATCH(SMALL('ISV Inventory'!$AU$6:$AU$255,$A110),'ISV Inventory'!$AU$6:$AU$255,0))&amp;"",""))</f>
        <v/>
      </c>
      <c r="G110" s="49" t="str">
        <f aca="false">IF($A110="","",IFERROR(INDEX('ISV Inventory'!$R$6:$R$255,MATCH(SMALL('ISV Inventory'!$AU$6:$AU$255,$A110),'ISV Inventory'!$AU$6:$AU$255,0)),""))</f>
        <v/>
      </c>
      <c r="H110" s="13" t="str">
        <f aca="false">IF($A110="","",IFERROR(INDEX('ISV Inventory'!$X$6:$X$255,MATCH(SMALL('ISV Inventory'!$AU$6:$AU$255,$A110),'ISV Inventory'!$AU$6:$AU$255,0))&amp;"",""))</f>
        <v/>
      </c>
      <c r="I110" s="47" t="str">
        <f aca="false">IF($A110="","",IFERROR(INDEX('ISV Inventory'!$Z$6:$Z$255,MATCH(SMALL('ISV Inventory'!$AU$6:$AU$255,$A110),'ISV Inventory'!$AU$6:$AU$255,0)),""))</f>
        <v/>
      </c>
      <c r="J110" s="13" t="str">
        <f aca="false">IF($A110="","",IFERROR(INDEX('ISV Inventory'!$AG$6:$AG$255,MATCH(SMALL('ISV Inventory'!$AU$6:$AU$255,$A110),'ISV Inventory'!$AU$6:$AU$255,0))&amp;"",""))</f>
        <v/>
      </c>
      <c r="K110" s="13" t="str">
        <f aca="false">IF($A110="","",IFERROR(INDEX('ISV Inventory'!$AK$6:$AK$255,MATCH(SMALL('ISV Inventory'!$AU$6:$AU$255,$A110),'ISV Inventory'!$AU$6:$AU$255,0))&amp;"",""))</f>
        <v/>
      </c>
      <c r="L110" s="13" t="str">
        <f aca="false">IF($A110="","",IFERROR(INDEX('ISV Inventory'!$AR$6:$AR$255,MATCH(SMALL('ISV Inventory'!$AU$6:$AU$255,$A110),'ISV Inventory'!$AU$6:$AU$255,0))&amp;"",""))</f>
        <v/>
      </c>
      <c r="M110" s="13" t="str">
        <f aca="false">IF($A110="","",IFERROR(INDEX('ISV Inventory'!$AS$6:$AS$255,MATCH(SMALL('ISV Inventory'!$AU$6:$AU$255,$A110),'ISV Inventory'!$AU$6:$AU$255,0))&amp;"",""))</f>
        <v/>
      </c>
    </row>
    <row r="111" customFormat="false" ht="15" hidden="false" customHeight="false" outlineLevel="0" collapsed="false">
      <c r="A111" s="13" t="str">
        <f aca="false">IF(COUNT('ISV Inventory'!$AU$6:$AU$255)&lt;107,"",107)</f>
        <v/>
      </c>
      <c r="B111" s="47" t="str">
        <f aca="false">IF($A111="","",IFERROR(INDEX('ISV Inventory'!$V$6:$V$255,MATCH(SMALL('ISV Inventory'!$AU$6:$AU$255,$A111),'ISV Inventory'!$AU$6:$AU$255,0)),""))</f>
        <v/>
      </c>
      <c r="C111" s="48" t="str">
        <f aca="false">IF($A111="","",IFERROR(INDEX('ISV Inventory'!$AA$6:$AA$255,MATCH(SMALL('ISV Inventory'!$AU$6:$AU$255,$A111),'ISV Inventory'!$AU$6:$AU$255,0)),""))</f>
        <v/>
      </c>
      <c r="D111" s="13" t="str">
        <f aca="false">IF($A111="","",IFERROR(INDEX('ISV Inventory'!$AB$6:$AB$255,MATCH(SMALL('ISV Inventory'!$AU$6:$AU$255,$A111),'ISV Inventory'!$AU$6:$AU$255,0))&amp;"",""))</f>
        <v/>
      </c>
      <c r="E111" s="13" t="str">
        <f aca="false">IF($A111="","",IFERROR(INDEX('ISV Inventory'!$B$6:$B$255,MATCH(SMALL('ISV Inventory'!$AU$6:$AU$255,$A111),'ISV Inventory'!$AU$6:$AU$255,0))&amp;"",""))</f>
        <v/>
      </c>
      <c r="F111" s="13" t="str">
        <f aca="false">IF($A111="","",IFERROR(INDEX('ISV Inventory'!$F$6:$F$255,MATCH(SMALL('ISV Inventory'!$AU$6:$AU$255,$A111),'ISV Inventory'!$AU$6:$AU$255,0))&amp;"",""))</f>
        <v/>
      </c>
      <c r="G111" s="49" t="str">
        <f aca="false">IF($A111="","",IFERROR(INDEX('ISV Inventory'!$R$6:$R$255,MATCH(SMALL('ISV Inventory'!$AU$6:$AU$255,$A111),'ISV Inventory'!$AU$6:$AU$255,0)),""))</f>
        <v/>
      </c>
      <c r="H111" s="13" t="str">
        <f aca="false">IF($A111="","",IFERROR(INDEX('ISV Inventory'!$X$6:$X$255,MATCH(SMALL('ISV Inventory'!$AU$6:$AU$255,$A111),'ISV Inventory'!$AU$6:$AU$255,0))&amp;"",""))</f>
        <v/>
      </c>
      <c r="I111" s="47" t="str">
        <f aca="false">IF($A111="","",IFERROR(INDEX('ISV Inventory'!$Z$6:$Z$255,MATCH(SMALL('ISV Inventory'!$AU$6:$AU$255,$A111),'ISV Inventory'!$AU$6:$AU$255,0)),""))</f>
        <v/>
      </c>
      <c r="J111" s="13" t="str">
        <f aca="false">IF($A111="","",IFERROR(INDEX('ISV Inventory'!$AG$6:$AG$255,MATCH(SMALL('ISV Inventory'!$AU$6:$AU$255,$A111),'ISV Inventory'!$AU$6:$AU$255,0))&amp;"",""))</f>
        <v/>
      </c>
      <c r="K111" s="13" t="str">
        <f aca="false">IF($A111="","",IFERROR(INDEX('ISV Inventory'!$AK$6:$AK$255,MATCH(SMALL('ISV Inventory'!$AU$6:$AU$255,$A111),'ISV Inventory'!$AU$6:$AU$255,0))&amp;"",""))</f>
        <v/>
      </c>
      <c r="L111" s="13" t="str">
        <f aca="false">IF($A111="","",IFERROR(INDEX('ISV Inventory'!$AR$6:$AR$255,MATCH(SMALL('ISV Inventory'!$AU$6:$AU$255,$A111),'ISV Inventory'!$AU$6:$AU$255,0))&amp;"",""))</f>
        <v/>
      </c>
      <c r="M111" s="13" t="str">
        <f aca="false">IF($A111="","",IFERROR(INDEX('ISV Inventory'!$AS$6:$AS$255,MATCH(SMALL('ISV Inventory'!$AU$6:$AU$255,$A111),'ISV Inventory'!$AU$6:$AU$255,0))&amp;"",""))</f>
        <v/>
      </c>
    </row>
    <row r="112" customFormat="false" ht="15" hidden="false" customHeight="false" outlineLevel="0" collapsed="false">
      <c r="A112" s="13" t="str">
        <f aca="false">IF(COUNT('ISV Inventory'!$AU$6:$AU$255)&lt;108,"",108)</f>
        <v/>
      </c>
      <c r="B112" s="47" t="str">
        <f aca="false">IF($A112="","",IFERROR(INDEX('ISV Inventory'!$V$6:$V$255,MATCH(SMALL('ISV Inventory'!$AU$6:$AU$255,$A112),'ISV Inventory'!$AU$6:$AU$255,0)),""))</f>
        <v/>
      </c>
      <c r="C112" s="48" t="str">
        <f aca="false">IF($A112="","",IFERROR(INDEX('ISV Inventory'!$AA$6:$AA$255,MATCH(SMALL('ISV Inventory'!$AU$6:$AU$255,$A112),'ISV Inventory'!$AU$6:$AU$255,0)),""))</f>
        <v/>
      </c>
      <c r="D112" s="13" t="str">
        <f aca="false">IF($A112="","",IFERROR(INDEX('ISV Inventory'!$AB$6:$AB$255,MATCH(SMALL('ISV Inventory'!$AU$6:$AU$255,$A112),'ISV Inventory'!$AU$6:$AU$255,0))&amp;"",""))</f>
        <v/>
      </c>
      <c r="E112" s="13" t="str">
        <f aca="false">IF($A112="","",IFERROR(INDEX('ISV Inventory'!$B$6:$B$255,MATCH(SMALL('ISV Inventory'!$AU$6:$AU$255,$A112),'ISV Inventory'!$AU$6:$AU$255,0))&amp;"",""))</f>
        <v/>
      </c>
      <c r="F112" s="13" t="str">
        <f aca="false">IF($A112="","",IFERROR(INDEX('ISV Inventory'!$F$6:$F$255,MATCH(SMALL('ISV Inventory'!$AU$6:$AU$255,$A112),'ISV Inventory'!$AU$6:$AU$255,0))&amp;"",""))</f>
        <v/>
      </c>
      <c r="G112" s="49" t="str">
        <f aca="false">IF($A112="","",IFERROR(INDEX('ISV Inventory'!$R$6:$R$255,MATCH(SMALL('ISV Inventory'!$AU$6:$AU$255,$A112),'ISV Inventory'!$AU$6:$AU$255,0)),""))</f>
        <v/>
      </c>
      <c r="H112" s="13" t="str">
        <f aca="false">IF($A112="","",IFERROR(INDEX('ISV Inventory'!$X$6:$X$255,MATCH(SMALL('ISV Inventory'!$AU$6:$AU$255,$A112),'ISV Inventory'!$AU$6:$AU$255,0))&amp;"",""))</f>
        <v/>
      </c>
      <c r="I112" s="47" t="str">
        <f aca="false">IF($A112="","",IFERROR(INDEX('ISV Inventory'!$Z$6:$Z$255,MATCH(SMALL('ISV Inventory'!$AU$6:$AU$255,$A112),'ISV Inventory'!$AU$6:$AU$255,0)),""))</f>
        <v/>
      </c>
      <c r="J112" s="13" t="str">
        <f aca="false">IF($A112="","",IFERROR(INDEX('ISV Inventory'!$AG$6:$AG$255,MATCH(SMALL('ISV Inventory'!$AU$6:$AU$255,$A112),'ISV Inventory'!$AU$6:$AU$255,0))&amp;"",""))</f>
        <v/>
      </c>
      <c r="K112" s="13" t="str">
        <f aca="false">IF($A112="","",IFERROR(INDEX('ISV Inventory'!$AK$6:$AK$255,MATCH(SMALL('ISV Inventory'!$AU$6:$AU$255,$A112),'ISV Inventory'!$AU$6:$AU$255,0))&amp;"",""))</f>
        <v/>
      </c>
      <c r="L112" s="13" t="str">
        <f aca="false">IF($A112="","",IFERROR(INDEX('ISV Inventory'!$AR$6:$AR$255,MATCH(SMALL('ISV Inventory'!$AU$6:$AU$255,$A112),'ISV Inventory'!$AU$6:$AU$255,0))&amp;"",""))</f>
        <v/>
      </c>
      <c r="M112" s="13" t="str">
        <f aca="false">IF($A112="","",IFERROR(INDEX('ISV Inventory'!$AS$6:$AS$255,MATCH(SMALL('ISV Inventory'!$AU$6:$AU$255,$A112),'ISV Inventory'!$AU$6:$AU$255,0))&amp;"",""))</f>
        <v/>
      </c>
    </row>
    <row r="113" customFormat="false" ht="15" hidden="false" customHeight="false" outlineLevel="0" collapsed="false">
      <c r="A113" s="13" t="str">
        <f aca="false">IF(COUNT('ISV Inventory'!$AU$6:$AU$255)&lt;109,"",109)</f>
        <v/>
      </c>
      <c r="B113" s="47" t="str">
        <f aca="false">IF($A113="","",IFERROR(INDEX('ISV Inventory'!$V$6:$V$255,MATCH(SMALL('ISV Inventory'!$AU$6:$AU$255,$A113),'ISV Inventory'!$AU$6:$AU$255,0)),""))</f>
        <v/>
      </c>
      <c r="C113" s="48" t="str">
        <f aca="false">IF($A113="","",IFERROR(INDEX('ISV Inventory'!$AA$6:$AA$255,MATCH(SMALL('ISV Inventory'!$AU$6:$AU$255,$A113),'ISV Inventory'!$AU$6:$AU$255,0)),""))</f>
        <v/>
      </c>
      <c r="D113" s="13" t="str">
        <f aca="false">IF($A113="","",IFERROR(INDEX('ISV Inventory'!$AB$6:$AB$255,MATCH(SMALL('ISV Inventory'!$AU$6:$AU$255,$A113),'ISV Inventory'!$AU$6:$AU$255,0))&amp;"",""))</f>
        <v/>
      </c>
      <c r="E113" s="13" t="str">
        <f aca="false">IF($A113="","",IFERROR(INDEX('ISV Inventory'!$B$6:$B$255,MATCH(SMALL('ISV Inventory'!$AU$6:$AU$255,$A113),'ISV Inventory'!$AU$6:$AU$255,0))&amp;"",""))</f>
        <v/>
      </c>
      <c r="F113" s="13" t="str">
        <f aca="false">IF($A113="","",IFERROR(INDEX('ISV Inventory'!$F$6:$F$255,MATCH(SMALL('ISV Inventory'!$AU$6:$AU$255,$A113),'ISV Inventory'!$AU$6:$AU$255,0))&amp;"",""))</f>
        <v/>
      </c>
      <c r="G113" s="49" t="str">
        <f aca="false">IF($A113="","",IFERROR(INDEX('ISV Inventory'!$R$6:$R$255,MATCH(SMALL('ISV Inventory'!$AU$6:$AU$255,$A113),'ISV Inventory'!$AU$6:$AU$255,0)),""))</f>
        <v/>
      </c>
      <c r="H113" s="13" t="str">
        <f aca="false">IF($A113="","",IFERROR(INDEX('ISV Inventory'!$X$6:$X$255,MATCH(SMALL('ISV Inventory'!$AU$6:$AU$255,$A113),'ISV Inventory'!$AU$6:$AU$255,0))&amp;"",""))</f>
        <v/>
      </c>
      <c r="I113" s="47" t="str">
        <f aca="false">IF($A113="","",IFERROR(INDEX('ISV Inventory'!$Z$6:$Z$255,MATCH(SMALL('ISV Inventory'!$AU$6:$AU$255,$A113),'ISV Inventory'!$AU$6:$AU$255,0)),""))</f>
        <v/>
      </c>
      <c r="J113" s="13" t="str">
        <f aca="false">IF($A113="","",IFERROR(INDEX('ISV Inventory'!$AG$6:$AG$255,MATCH(SMALL('ISV Inventory'!$AU$6:$AU$255,$A113),'ISV Inventory'!$AU$6:$AU$255,0))&amp;"",""))</f>
        <v/>
      </c>
      <c r="K113" s="13" t="str">
        <f aca="false">IF($A113="","",IFERROR(INDEX('ISV Inventory'!$AK$6:$AK$255,MATCH(SMALL('ISV Inventory'!$AU$6:$AU$255,$A113),'ISV Inventory'!$AU$6:$AU$255,0))&amp;"",""))</f>
        <v/>
      </c>
      <c r="L113" s="13" t="str">
        <f aca="false">IF($A113="","",IFERROR(INDEX('ISV Inventory'!$AR$6:$AR$255,MATCH(SMALL('ISV Inventory'!$AU$6:$AU$255,$A113),'ISV Inventory'!$AU$6:$AU$255,0))&amp;"",""))</f>
        <v/>
      </c>
      <c r="M113" s="13" t="str">
        <f aca="false">IF($A113="","",IFERROR(INDEX('ISV Inventory'!$AS$6:$AS$255,MATCH(SMALL('ISV Inventory'!$AU$6:$AU$255,$A113),'ISV Inventory'!$AU$6:$AU$255,0))&amp;"",""))</f>
        <v/>
      </c>
    </row>
    <row r="114" customFormat="false" ht="15" hidden="false" customHeight="false" outlineLevel="0" collapsed="false">
      <c r="A114" s="13" t="str">
        <f aca="false">IF(COUNT('ISV Inventory'!$AU$6:$AU$255)&lt;110,"",110)</f>
        <v/>
      </c>
      <c r="B114" s="47" t="str">
        <f aca="false">IF($A114="","",IFERROR(INDEX('ISV Inventory'!$V$6:$V$255,MATCH(SMALL('ISV Inventory'!$AU$6:$AU$255,$A114),'ISV Inventory'!$AU$6:$AU$255,0)),""))</f>
        <v/>
      </c>
      <c r="C114" s="48" t="str">
        <f aca="false">IF($A114="","",IFERROR(INDEX('ISV Inventory'!$AA$6:$AA$255,MATCH(SMALL('ISV Inventory'!$AU$6:$AU$255,$A114),'ISV Inventory'!$AU$6:$AU$255,0)),""))</f>
        <v/>
      </c>
      <c r="D114" s="13" t="str">
        <f aca="false">IF($A114="","",IFERROR(INDEX('ISV Inventory'!$AB$6:$AB$255,MATCH(SMALL('ISV Inventory'!$AU$6:$AU$255,$A114),'ISV Inventory'!$AU$6:$AU$255,0))&amp;"",""))</f>
        <v/>
      </c>
      <c r="E114" s="13" t="str">
        <f aca="false">IF($A114="","",IFERROR(INDEX('ISV Inventory'!$B$6:$B$255,MATCH(SMALL('ISV Inventory'!$AU$6:$AU$255,$A114),'ISV Inventory'!$AU$6:$AU$255,0))&amp;"",""))</f>
        <v/>
      </c>
      <c r="F114" s="13" t="str">
        <f aca="false">IF($A114="","",IFERROR(INDEX('ISV Inventory'!$F$6:$F$255,MATCH(SMALL('ISV Inventory'!$AU$6:$AU$255,$A114),'ISV Inventory'!$AU$6:$AU$255,0))&amp;"",""))</f>
        <v/>
      </c>
      <c r="G114" s="49" t="str">
        <f aca="false">IF($A114="","",IFERROR(INDEX('ISV Inventory'!$R$6:$R$255,MATCH(SMALL('ISV Inventory'!$AU$6:$AU$255,$A114),'ISV Inventory'!$AU$6:$AU$255,0)),""))</f>
        <v/>
      </c>
      <c r="H114" s="13" t="str">
        <f aca="false">IF($A114="","",IFERROR(INDEX('ISV Inventory'!$X$6:$X$255,MATCH(SMALL('ISV Inventory'!$AU$6:$AU$255,$A114),'ISV Inventory'!$AU$6:$AU$255,0))&amp;"",""))</f>
        <v/>
      </c>
      <c r="I114" s="47" t="str">
        <f aca="false">IF($A114="","",IFERROR(INDEX('ISV Inventory'!$Z$6:$Z$255,MATCH(SMALL('ISV Inventory'!$AU$6:$AU$255,$A114),'ISV Inventory'!$AU$6:$AU$255,0)),""))</f>
        <v/>
      </c>
      <c r="J114" s="13" t="str">
        <f aca="false">IF($A114="","",IFERROR(INDEX('ISV Inventory'!$AG$6:$AG$255,MATCH(SMALL('ISV Inventory'!$AU$6:$AU$255,$A114),'ISV Inventory'!$AU$6:$AU$255,0))&amp;"",""))</f>
        <v/>
      </c>
      <c r="K114" s="13" t="str">
        <f aca="false">IF($A114="","",IFERROR(INDEX('ISV Inventory'!$AK$6:$AK$255,MATCH(SMALL('ISV Inventory'!$AU$6:$AU$255,$A114),'ISV Inventory'!$AU$6:$AU$255,0))&amp;"",""))</f>
        <v/>
      </c>
      <c r="L114" s="13" t="str">
        <f aca="false">IF($A114="","",IFERROR(INDEX('ISV Inventory'!$AR$6:$AR$255,MATCH(SMALL('ISV Inventory'!$AU$6:$AU$255,$A114),'ISV Inventory'!$AU$6:$AU$255,0))&amp;"",""))</f>
        <v/>
      </c>
      <c r="M114" s="13" t="str">
        <f aca="false">IF($A114="","",IFERROR(INDEX('ISV Inventory'!$AS$6:$AS$255,MATCH(SMALL('ISV Inventory'!$AU$6:$AU$255,$A114),'ISV Inventory'!$AU$6:$AU$255,0))&amp;"",""))</f>
        <v/>
      </c>
    </row>
    <row r="115" customFormat="false" ht="15" hidden="false" customHeight="false" outlineLevel="0" collapsed="false">
      <c r="A115" s="13" t="str">
        <f aca="false">IF(COUNT('ISV Inventory'!$AU$6:$AU$255)&lt;111,"",111)</f>
        <v/>
      </c>
      <c r="B115" s="47" t="str">
        <f aca="false">IF($A115="","",IFERROR(INDEX('ISV Inventory'!$V$6:$V$255,MATCH(SMALL('ISV Inventory'!$AU$6:$AU$255,$A115),'ISV Inventory'!$AU$6:$AU$255,0)),""))</f>
        <v/>
      </c>
      <c r="C115" s="48" t="str">
        <f aca="false">IF($A115="","",IFERROR(INDEX('ISV Inventory'!$AA$6:$AA$255,MATCH(SMALL('ISV Inventory'!$AU$6:$AU$255,$A115),'ISV Inventory'!$AU$6:$AU$255,0)),""))</f>
        <v/>
      </c>
      <c r="D115" s="13" t="str">
        <f aca="false">IF($A115="","",IFERROR(INDEX('ISV Inventory'!$AB$6:$AB$255,MATCH(SMALL('ISV Inventory'!$AU$6:$AU$255,$A115),'ISV Inventory'!$AU$6:$AU$255,0))&amp;"",""))</f>
        <v/>
      </c>
      <c r="E115" s="13" t="str">
        <f aca="false">IF($A115="","",IFERROR(INDEX('ISV Inventory'!$B$6:$B$255,MATCH(SMALL('ISV Inventory'!$AU$6:$AU$255,$A115),'ISV Inventory'!$AU$6:$AU$255,0))&amp;"",""))</f>
        <v/>
      </c>
      <c r="F115" s="13" t="str">
        <f aca="false">IF($A115="","",IFERROR(INDEX('ISV Inventory'!$F$6:$F$255,MATCH(SMALL('ISV Inventory'!$AU$6:$AU$255,$A115),'ISV Inventory'!$AU$6:$AU$255,0))&amp;"",""))</f>
        <v/>
      </c>
      <c r="G115" s="49" t="str">
        <f aca="false">IF($A115="","",IFERROR(INDEX('ISV Inventory'!$R$6:$R$255,MATCH(SMALL('ISV Inventory'!$AU$6:$AU$255,$A115),'ISV Inventory'!$AU$6:$AU$255,0)),""))</f>
        <v/>
      </c>
      <c r="H115" s="13" t="str">
        <f aca="false">IF($A115="","",IFERROR(INDEX('ISV Inventory'!$X$6:$X$255,MATCH(SMALL('ISV Inventory'!$AU$6:$AU$255,$A115),'ISV Inventory'!$AU$6:$AU$255,0))&amp;"",""))</f>
        <v/>
      </c>
      <c r="I115" s="47" t="str">
        <f aca="false">IF($A115="","",IFERROR(INDEX('ISV Inventory'!$Z$6:$Z$255,MATCH(SMALL('ISV Inventory'!$AU$6:$AU$255,$A115),'ISV Inventory'!$AU$6:$AU$255,0)),""))</f>
        <v/>
      </c>
      <c r="J115" s="13" t="str">
        <f aca="false">IF($A115="","",IFERROR(INDEX('ISV Inventory'!$AG$6:$AG$255,MATCH(SMALL('ISV Inventory'!$AU$6:$AU$255,$A115),'ISV Inventory'!$AU$6:$AU$255,0))&amp;"",""))</f>
        <v/>
      </c>
      <c r="K115" s="13" t="str">
        <f aca="false">IF($A115="","",IFERROR(INDEX('ISV Inventory'!$AK$6:$AK$255,MATCH(SMALL('ISV Inventory'!$AU$6:$AU$255,$A115),'ISV Inventory'!$AU$6:$AU$255,0))&amp;"",""))</f>
        <v/>
      </c>
      <c r="L115" s="13" t="str">
        <f aca="false">IF($A115="","",IFERROR(INDEX('ISV Inventory'!$AR$6:$AR$255,MATCH(SMALL('ISV Inventory'!$AU$6:$AU$255,$A115),'ISV Inventory'!$AU$6:$AU$255,0))&amp;"",""))</f>
        <v/>
      </c>
      <c r="M115" s="13" t="str">
        <f aca="false">IF($A115="","",IFERROR(INDEX('ISV Inventory'!$AS$6:$AS$255,MATCH(SMALL('ISV Inventory'!$AU$6:$AU$255,$A115),'ISV Inventory'!$AU$6:$AU$255,0))&amp;"",""))</f>
        <v/>
      </c>
    </row>
    <row r="116" customFormat="false" ht="15" hidden="false" customHeight="false" outlineLevel="0" collapsed="false">
      <c r="A116" s="13" t="str">
        <f aca="false">IF(COUNT('ISV Inventory'!$AU$6:$AU$255)&lt;112,"",112)</f>
        <v/>
      </c>
      <c r="B116" s="47" t="str">
        <f aca="false">IF($A116="","",IFERROR(INDEX('ISV Inventory'!$V$6:$V$255,MATCH(SMALL('ISV Inventory'!$AU$6:$AU$255,$A116),'ISV Inventory'!$AU$6:$AU$255,0)),""))</f>
        <v/>
      </c>
      <c r="C116" s="48" t="str">
        <f aca="false">IF($A116="","",IFERROR(INDEX('ISV Inventory'!$AA$6:$AA$255,MATCH(SMALL('ISV Inventory'!$AU$6:$AU$255,$A116),'ISV Inventory'!$AU$6:$AU$255,0)),""))</f>
        <v/>
      </c>
      <c r="D116" s="13" t="str">
        <f aca="false">IF($A116="","",IFERROR(INDEX('ISV Inventory'!$AB$6:$AB$255,MATCH(SMALL('ISV Inventory'!$AU$6:$AU$255,$A116),'ISV Inventory'!$AU$6:$AU$255,0))&amp;"",""))</f>
        <v/>
      </c>
      <c r="E116" s="13" t="str">
        <f aca="false">IF($A116="","",IFERROR(INDEX('ISV Inventory'!$B$6:$B$255,MATCH(SMALL('ISV Inventory'!$AU$6:$AU$255,$A116),'ISV Inventory'!$AU$6:$AU$255,0))&amp;"",""))</f>
        <v/>
      </c>
      <c r="F116" s="13" t="str">
        <f aca="false">IF($A116="","",IFERROR(INDEX('ISV Inventory'!$F$6:$F$255,MATCH(SMALL('ISV Inventory'!$AU$6:$AU$255,$A116),'ISV Inventory'!$AU$6:$AU$255,0))&amp;"",""))</f>
        <v/>
      </c>
      <c r="G116" s="49" t="str">
        <f aca="false">IF($A116="","",IFERROR(INDEX('ISV Inventory'!$R$6:$R$255,MATCH(SMALL('ISV Inventory'!$AU$6:$AU$255,$A116),'ISV Inventory'!$AU$6:$AU$255,0)),""))</f>
        <v/>
      </c>
      <c r="H116" s="13" t="str">
        <f aca="false">IF($A116="","",IFERROR(INDEX('ISV Inventory'!$X$6:$X$255,MATCH(SMALL('ISV Inventory'!$AU$6:$AU$255,$A116),'ISV Inventory'!$AU$6:$AU$255,0))&amp;"",""))</f>
        <v/>
      </c>
      <c r="I116" s="47" t="str">
        <f aca="false">IF($A116="","",IFERROR(INDEX('ISV Inventory'!$Z$6:$Z$255,MATCH(SMALL('ISV Inventory'!$AU$6:$AU$255,$A116),'ISV Inventory'!$AU$6:$AU$255,0)),""))</f>
        <v/>
      </c>
      <c r="J116" s="13" t="str">
        <f aca="false">IF($A116="","",IFERROR(INDEX('ISV Inventory'!$AG$6:$AG$255,MATCH(SMALL('ISV Inventory'!$AU$6:$AU$255,$A116),'ISV Inventory'!$AU$6:$AU$255,0))&amp;"",""))</f>
        <v/>
      </c>
      <c r="K116" s="13" t="str">
        <f aca="false">IF($A116="","",IFERROR(INDEX('ISV Inventory'!$AK$6:$AK$255,MATCH(SMALL('ISV Inventory'!$AU$6:$AU$255,$A116),'ISV Inventory'!$AU$6:$AU$255,0))&amp;"",""))</f>
        <v/>
      </c>
      <c r="L116" s="13" t="str">
        <f aca="false">IF($A116="","",IFERROR(INDEX('ISV Inventory'!$AR$6:$AR$255,MATCH(SMALL('ISV Inventory'!$AU$6:$AU$255,$A116),'ISV Inventory'!$AU$6:$AU$255,0))&amp;"",""))</f>
        <v/>
      </c>
      <c r="M116" s="13" t="str">
        <f aca="false">IF($A116="","",IFERROR(INDEX('ISV Inventory'!$AS$6:$AS$255,MATCH(SMALL('ISV Inventory'!$AU$6:$AU$255,$A116),'ISV Inventory'!$AU$6:$AU$255,0))&amp;"",""))</f>
        <v/>
      </c>
    </row>
    <row r="117" customFormat="false" ht="15" hidden="false" customHeight="false" outlineLevel="0" collapsed="false">
      <c r="A117" s="13" t="str">
        <f aca="false">IF(COUNT('ISV Inventory'!$AU$6:$AU$255)&lt;113,"",113)</f>
        <v/>
      </c>
      <c r="B117" s="47" t="str">
        <f aca="false">IF($A117="","",IFERROR(INDEX('ISV Inventory'!$V$6:$V$255,MATCH(SMALL('ISV Inventory'!$AU$6:$AU$255,$A117),'ISV Inventory'!$AU$6:$AU$255,0)),""))</f>
        <v/>
      </c>
      <c r="C117" s="48" t="str">
        <f aca="false">IF($A117="","",IFERROR(INDEX('ISV Inventory'!$AA$6:$AA$255,MATCH(SMALL('ISV Inventory'!$AU$6:$AU$255,$A117),'ISV Inventory'!$AU$6:$AU$255,0)),""))</f>
        <v/>
      </c>
      <c r="D117" s="13" t="str">
        <f aca="false">IF($A117="","",IFERROR(INDEX('ISV Inventory'!$AB$6:$AB$255,MATCH(SMALL('ISV Inventory'!$AU$6:$AU$255,$A117),'ISV Inventory'!$AU$6:$AU$255,0))&amp;"",""))</f>
        <v/>
      </c>
      <c r="E117" s="13" t="str">
        <f aca="false">IF($A117="","",IFERROR(INDEX('ISV Inventory'!$B$6:$B$255,MATCH(SMALL('ISV Inventory'!$AU$6:$AU$255,$A117),'ISV Inventory'!$AU$6:$AU$255,0))&amp;"",""))</f>
        <v/>
      </c>
      <c r="F117" s="13" t="str">
        <f aca="false">IF($A117="","",IFERROR(INDEX('ISV Inventory'!$F$6:$F$255,MATCH(SMALL('ISV Inventory'!$AU$6:$AU$255,$A117),'ISV Inventory'!$AU$6:$AU$255,0))&amp;"",""))</f>
        <v/>
      </c>
      <c r="G117" s="49" t="str">
        <f aca="false">IF($A117="","",IFERROR(INDEX('ISV Inventory'!$R$6:$R$255,MATCH(SMALL('ISV Inventory'!$AU$6:$AU$255,$A117),'ISV Inventory'!$AU$6:$AU$255,0)),""))</f>
        <v/>
      </c>
      <c r="H117" s="13" t="str">
        <f aca="false">IF($A117="","",IFERROR(INDEX('ISV Inventory'!$X$6:$X$255,MATCH(SMALL('ISV Inventory'!$AU$6:$AU$255,$A117),'ISV Inventory'!$AU$6:$AU$255,0))&amp;"",""))</f>
        <v/>
      </c>
      <c r="I117" s="47" t="str">
        <f aca="false">IF($A117="","",IFERROR(INDEX('ISV Inventory'!$Z$6:$Z$255,MATCH(SMALL('ISV Inventory'!$AU$6:$AU$255,$A117),'ISV Inventory'!$AU$6:$AU$255,0)),""))</f>
        <v/>
      </c>
      <c r="J117" s="13" t="str">
        <f aca="false">IF($A117="","",IFERROR(INDEX('ISV Inventory'!$AG$6:$AG$255,MATCH(SMALL('ISV Inventory'!$AU$6:$AU$255,$A117),'ISV Inventory'!$AU$6:$AU$255,0))&amp;"",""))</f>
        <v/>
      </c>
      <c r="K117" s="13" t="str">
        <f aca="false">IF($A117="","",IFERROR(INDEX('ISV Inventory'!$AK$6:$AK$255,MATCH(SMALL('ISV Inventory'!$AU$6:$AU$255,$A117),'ISV Inventory'!$AU$6:$AU$255,0))&amp;"",""))</f>
        <v/>
      </c>
      <c r="L117" s="13" t="str">
        <f aca="false">IF($A117="","",IFERROR(INDEX('ISV Inventory'!$AR$6:$AR$255,MATCH(SMALL('ISV Inventory'!$AU$6:$AU$255,$A117),'ISV Inventory'!$AU$6:$AU$255,0))&amp;"",""))</f>
        <v/>
      </c>
      <c r="M117" s="13" t="str">
        <f aca="false">IF($A117="","",IFERROR(INDEX('ISV Inventory'!$AS$6:$AS$255,MATCH(SMALL('ISV Inventory'!$AU$6:$AU$255,$A117),'ISV Inventory'!$AU$6:$AU$255,0))&amp;"",""))</f>
        <v/>
      </c>
    </row>
    <row r="118" customFormat="false" ht="15" hidden="false" customHeight="false" outlineLevel="0" collapsed="false">
      <c r="A118" s="13" t="str">
        <f aca="false">IF(COUNT('ISV Inventory'!$AU$6:$AU$255)&lt;114,"",114)</f>
        <v/>
      </c>
      <c r="B118" s="47" t="str">
        <f aca="false">IF($A118="","",IFERROR(INDEX('ISV Inventory'!$V$6:$V$255,MATCH(SMALL('ISV Inventory'!$AU$6:$AU$255,$A118),'ISV Inventory'!$AU$6:$AU$255,0)),""))</f>
        <v/>
      </c>
      <c r="C118" s="48" t="str">
        <f aca="false">IF($A118="","",IFERROR(INDEX('ISV Inventory'!$AA$6:$AA$255,MATCH(SMALL('ISV Inventory'!$AU$6:$AU$255,$A118),'ISV Inventory'!$AU$6:$AU$255,0)),""))</f>
        <v/>
      </c>
      <c r="D118" s="13" t="str">
        <f aca="false">IF($A118="","",IFERROR(INDEX('ISV Inventory'!$AB$6:$AB$255,MATCH(SMALL('ISV Inventory'!$AU$6:$AU$255,$A118),'ISV Inventory'!$AU$6:$AU$255,0))&amp;"",""))</f>
        <v/>
      </c>
      <c r="E118" s="13" t="str">
        <f aca="false">IF($A118="","",IFERROR(INDEX('ISV Inventory'!$B$6:$B$255,MATCH(SMALL('ISV Inventory'!$AU$6:$AU$255,$A118),'ISV Inventory'!$AU$6:$AU$255,0))&amp;"",""))</f>
        <v/>
      </c>
      <c r="F118" s="13" t="str">
        <f aca="false">IF($A118="","",IFERROR(INDEX('ISV Inventory'!$F$6:$F$255,MATCH(SMALL('ISV Inventory'!$AU$6:$AU$255,$A118),'ISV Inventory'!$AU$6:$AU$255,0))&amp;"",""))</f>
        <v/>
      </c>
      <c r="G118" s="49" t="str">
        <f aca="false">IF($A118="","",IFERROR(INDEX('ISV Inventory'!$R$6:$R$255,MATCH(SMALL('ISV Inventory'!$AU$6:$AU$255,$A118),'ISV Inventory'!$AU$6:$AU$255,0)),""))</f>
        <v/>
      </c>
      <c r="H118" s="13" t="str">
        <f aca="false">IF($A118="","",IFERROR(INDEX('ISV Inventory'!$X$6:$X$255,MATCH(SMALL('ISV Inventory'!$AU$6:$AU$255,$A118),'ISV Inventory'!$AU$6:$AU$255,0))&amp;"",""))</f>
        <v/>
      </c>
      <c r="I118" s="47" t="str">
        <f aca="false">IF($A118="","",IFERROR(INDEX('ISV Inventory'!$Z$6:$Z$255,MATCH(SMALL('ISV Inventory'!$AU$6:$AU$255,$A118),'ISV Inventory'!$AU$6:$AU$255,0)),""))</f>
        <v/>
      </c>
      <c r="J118" s="13" t="str">
        <f aca="false">IF($A118="","",IFERROR(INDEX('ISV Inventory'!$AG$6:$AG$255,MATCH(SMALL('ISV Inventory'!$AU$6:$AU$255,$A118),'ISV Inventory'!$AU$6:$AU$255,0))&amp;"",""))</f>
        <v/>
      </c>
      <c r="K118" s="13" t="str">
        <f aca="false">IF($A118="","",IFERROR(INDEX('ISV Inventory'!$AK$6:$AK$255,MATCH(SMALL('ISV Inventory'!$AU$6:$AU$255,$A118),'ISV Inventory'!$AU$6:$AU$255,0))&amp;"",""))</f>
        <v/>
      </c>
      <c r="L118" s="13" t="str">
        <f aca="false">IF($A118="","",IFERROR(INDEX('ISV Inventory'!$AR$6:$AR$255,MATCH(SMALL('ISV Inventory'!$AU$6:$AU$255,$A118),'ISV Inventory'!$AU$6:$AU$255,0))&amp;"",""))</f>
        <v/>
      </c>
      <c r="M118" s="13" t="str">
        <f aca="false">IF($A118="","",IFERROR(INDEX('ISV Inventory'!$AS$6:$AS$255,MATCH(SMALL('ISV Inventory'!$AU$6:$AU$255,$A118),'ISV Inventory'!$AU$6:$AU$255,0))&amp;"",""))</f>
        <v/>
      </c>
    </row>
    <row r="119" customFormat="false" ht="15" hidden="false" customHeight="false" outlineLevel="0" collapsed="false">
      <c r="A119" s="13" t="str">
        <f aca="false">IF(COUNT('ISV Inventory'!$AU$6:$AU$255)&lt;115,"",115)</f>
        <v/>
      </c>
      <c r="B119" s="47" t="str">
        <f aca="false">IF($A119="","",IFERROR(INDEX('ISV Inventory'!$V$6:$V$255,MATCH(SMALL('ISV Inventory'!$AU$6:$AU$255,$A119),'ISV Inventory'!$AU$6:$AU$255,0)),""))</f>
        <v/>
      </c>
      <c r="C119" s="48" t="str">
        <f aca="false">IF($A119="","",IFERROR(INDEX('ISV Inventory'!$AA$6:$AA$255,MATCH(SMALL('ISV Inventory'!$AU$6:$AU$255,$A119),'ISV Inventory'!$AU$6:$AU$255,0)),""))</f>
        <v/>
      </c>
      <c r="D119" s="13" t="str">
        <f aca="false">IF($A119="","",IFERROR(INDEX('ISV Inventory'!$AB$6:$AB$255,MATCH(SMALL('ISV Inventory'!$AU$6:$AU$255,$A119),'ISV Inventory'!$AU$6:$AU$255,0))&amp;"",""))</f>
        <v/>
      </c>
      <c r="E119" s="13" t="str">
        <f aca="false">IF($A119="","",IFERROR(INDEX('ISV Inventory'!$B$6:$B$255,MATCH(SMALL('ISV Inventory'!$AU$6:$AU$255,$A119),'ISV Inventory'!$AU$6:$AU$255,0))&amp;"",""))</f>
        <v/>
      </c>
      <c r="F119" s="13" t="str">
        <f aca="false">IF($A119="","",IFERROR(INDEX('ISV Inventory'!$F$6:$F$255,MATCH(SMALL('ISV Inventory'!$AU$6:$AU$255,$A119),'ISV Inventory'!$AU$6:$AU$255,0))&amp;"",""))</f>
        <v/>
      </c>
      <c r="G119" s="49" t="str">
        <f aca="false">IF($A119="","",IFERROR(INDEX('ISV Inventory'!$R$6:$R$255,MATCH(SMALL('ISV Inventory'!$AU$6:$AU$255,$A119),'ISV Inventory'!$AU$6:$AU$255,0)),""))</f>
        <v/>
      </c>
      <c r="H119" s="13" t="str">
        <f aca="false">IF($A119="","",IFERROR(INDEX('ISV Inventory'!$X$6:$X$255,MATCH(SMALL('ISV Inventory'!$AU$6:$AU$255,$A119),'ISV Inventory'!$AU$6:$AU$255,0))&amp;"",""))</f>
        <v/>
      </c>
      <c r="I119" s="47" t="str">
        <f aca="false">IF($A119="","",IFERROR(INDEX('ISV Inventory'!$Z$6:$Z$255,MATCH(SMALL('ISV Inventory'!$AU$6:$AU$255,$A119),'ISV Inventory'!$AU$6:$AU$255,0)),""))</f>
        <v/>
      </c>
      <c r="J119" s="13" t="str">
        <f aca="false">IF($A119="","",IFERROR(INDEX('ISV Inventory'!$AG$6:$AG$255,MATCH(SMALL('ISV Inventory'!$AU$6:$AU$255,$A119),'ISV Inventory'!$AU$6:$AU$255,0))&amp;"",""))</f>
        <v/>
      </c>
      <c r="K119" s="13" t="str">
        <f aca="false">IF($A119="","",IFERROR(INDEX('ISV Inventory'!$AK$6:$AK$255,MATCH(SMALL('ISV Inventory'!$AU$6:$AU$255,$A119),'ISV Inventory'!$AU$6:$AU$255,0))&amp;"",""))</f>
        <v/>
      </c>
      <c r="L119" s="13" t="str">
        <f aca="false">IF($A119="","",IFERROR(INDEX('ISV Inventory'!$AR$6:$AR$255,MATCH(SMALL('ISV Inventory'!$AU$6:$AU$255,$A119),'ISV Inventory'!$AU$6:$AU$255,0))&amp;"",""))</f>
        <v/>
      </c>
      <c r="M119" s="13" t="str">
        <f aca="false">IF($A119="","",IFERROR(INDEX('ISV Inventory'!$AS$6:$AS$255,MATCH(SMALL('ISV Inventory'!$AU$6:$AU$255,$A119),'ISV Inventory'!$AU$6:$AU$255,0))&amp;"",""))</f>
        <v/>
      </c>
    </row>
    <row r="120" customFormat="false" ht="15" hidden="false" customHeight="false" outlineLevel="0" collapsed="false">
      <c r="A120" s="13" t="str">
        <f aca="false">IF(COUNT('ISV Inventory'!$AU$6:$AU$255)&lt;116,"",116)</f>
        <v/>
      </c>
      <c r="B120" s="47" t="str">
        <f aca="false">IF($A120="","",IFERROR(INDEX('ISV Inventory'!$V$6:$V$255,MATCH(SMALL('ISV Inventory'!$AU$6:$AU$255,$A120),'ISV Inventory'!$AU$6:$AU$255,0)),""))</f>
        <v/>
      </c>
      <c r="C120" s="48" t="str">
        <f aca="false">IF($A120="","",IFERROR(INDEX('ISV Inventory'!$AA$6:$AA$255,MATCH(SMALL('ISV Inventory'!$AU$6:$AU$255,$A120),'ISV Inventory'!$AU$6:$AU$255,0)),""))</f>
        <v/>
      </c>
      <c r="D120" s="13" t="str">
        <f aca="false">IF($A120="","",IFERROR(INDEX('ISV Inventory'!$AB$6:$AB$255,MATCH(SMALL('ISV Inventory'!$AU$6:$AU$255,$A120),'ISV Inventory'!$AU$6:$AU$255,0))&amp;"",""))</f>
        <v/>
      </c>
      <c r="E120" s="13" t="str">
        <f aca="false">IF($A120="","",IFERROR(INDEX('ISV Inventory'!$B$6:$B$255,MATCH(SMALL('ISV Inventory'!$AU$6:$AU$255,$A120),'ISV Inventory'!$AU$6:$AU$255,0))&amp;"",""))</f>
        <v/>
      </c>
      <c r="F120" s="13" t="str">
        <f aca="false">IF($A120="","",IFERROR(INDEX('ISV Inventory'!$F$6:$F$255,MATCH(SMALL('ISV Inventory'!$AU$6:$AU$255,$A120),'ISV Inventory'!$AU$6:$AU$255,0))&amp;"",""))</f>
        <v/>
      </c>
      <c r="G120" s="49" t="str">
        <f aca="false">IF($A120="","",IFERROR(INDEX('ISV Inventory'!$R$6:$R$255,MATCH(SMALL('ISV Inventory'!$AU$6:$AU$255,$A120),'ISV Inventory'!$AU$6:$AU$255,0)),""))</f>
        <v/>
      </c>
      <c r="H120" s="13" t="str">
        <f aca="false">IF($A120="","",IFERROR(INDEX('ISV Inventory'!$X$6:$X$255,MATCH(SMALL('ISV Inventory'!$AU$6:$AU$255,$A120),'ISV Inventory'!$AU$6:$AU$255,0))&amp;"",""))</f>
        <v/>
      </c>
      <c r="I120" s="47" t="str">
        <f aca="false">IF($A120="","",IFERROR(INDEX('ISV Inventory'!$Z$6:$Z$255,MATCH(SMALL('ISV Inventory'!$AU$6:$AU$255,$A120),'ISV Inventory'!$AU$6:$AU$255,0)),""))</f>
        <v/>
      </c>
      <c r="J120" s="13" t="str">
        <f aca="false">IF($A120="","",IFERROR(INDEX('ISV Inventory'!$AG$6:$AG$255,MATCH(SMALL('ISV Inventory'!$AU$6:$AU$255,$A120),'ISV Inventory'!$AU$6:$AU$255,0))&amp;"",""))</f>
        <v/>
      </c>
      <c r="K120" s="13" t="str">
        <f aca="false">IF($A120="","",IFERROR(INDEX('ISV Inventory'!$AK$6:$AK$255,MATCH(SMALL('ISV Inventory'!$AU$6:$AU$255,$A120),'ISV Inventory'!$AU$6:$AU$255,0))&amp;"",""))</f>
        <v/>
      </c>
      <c r="L120" s="13" t="str">
        <f aca="false">IF($A120="","",IFERROR(INDEX('ISV Inventory'!$AR$6:$AR$255,MATCH(SMALL('ISV Inventory'!$AU$6:$AU$255,$A120),'ISV Inventory'!$AU$6:$AU$255,0))&amp;"",""))</f>
        <v/>
      </c>
      <c r="M120" s="13" t="str">
        <f aca="false">IF($A120="","",IFERROR(INDEX('ISV Inventory'!$AS$6:$AS$255,MATCH(SMALL('ISV Inventory'!$AU$6:$AU$255,$A120),'ISV Inventory'!$AU$6:$AU$255,0))&amp;"",""))</f>
        <v/>
      </c>
    </row>
    <row r="121" customFormat="false" ht="15" hidden="false" customHeight="false" outlineLevel="0" collapsed="false">
      <c r="A121" s="13" t="str">
        <f aca="false">IF(COUNT('ISV Inventory'!$AU$6:$AU$255)&lt;117,"",117)</f>
        <v/>
      </c>
      <c r="B121" s="47" t="str">
        <f aca="false">IF($A121="","",IFERROR(INDEX('ISV Inventory'!$V$6:$V$255,MATCH(SMALL('ISV Inventory'!$AU$6:$AU$255,$A121),'ISV Inventory'!$AU$6:$AU$255,0)),""))</f>
        <v/>
      </c>
      <c r="C121" s="48" t="str">
        <f aca="false">IF($A121="","",IFERROR(INDEX('ISV Inventory'!$AA$6:$AA$255,MATCH(SMALL('ISV Inventory'!$AU$6:$AU$255,$A121),'ISV Inventory'!$AU$6:$AU$255,0)),""))</f>
        <v/>
      </c>
      <c r="D121" s="13" t="str">
        <f aca="false">IF($A121="","",IFERROR(INDEX('ISV Inventory'!$AB$6:$AB$255,MATCH(SMALL('ISV Inventory'!$AU$6:$AU$255,$A121),'ISV Inventory'!$AU$6:$AU$255,0))&amp;"",""))</f>
        <v/>
      </c>
      <c r="E121" s="13" t="str">
        <f aca="false">IF($A121="","",IFERROR(INDEX('ISV Inventory'!$B$6:$B$255,MATCH(SMALL('ISV Inventory'!$AU$6:$AU$255,$A121),'ISV Inventory'!$AU$6:$AU$255,0))&amp;"",""))</f>
        <v/>
      </c>
      <c r="F121" s="13" t="str">
        <f aca="false">IF($A121="","",IFERROR(INDEX('ISV Inventory'!$F$6:$F$255,MATCH(SMALL('ISV Inventory'!$AU$6:$AU$255,$A121),'ISV Inventory'!$AU$6:$AU$255,0))&amp;"",""))</f>
        <v/>
      </c>
      <c r="G121" s="49" t="str">
        <f aca="false">IF($A121="","",IFERROR(INDEX('ISV Inventory'!$R$6:$R$255,MATCH(SMALL('ISV Inventory'!$AU$6:$AU$255,$A121),'ISV Inventory'!$AU$6:$AU$255,0)),""))</f>
        <v/>
      </c>
      <c r="H121" s="13" t="str">
        <f aca="false">IF($A121="","",IFERROR(INDEX('ISV Inventory'!$X$6:$X$255,MATCH(SMALL('ISV Inventory'!$AU$6:$AU$255,$A121),'ISV Inventory'!$AU$6:$AU$255,0))&amp;"",""))</f>
        <v/>
      </c>
      <c r="I121" s="47" t="str">
        <f aca="false">IF($A121="","",IFERROR(INDEX('ISV Inventory'!$Z$6:$Z$255,MATCH(SMALL('ISV Inventory'!$AU$6:$AU$255,$A121),'ISV Inventory'!$AU$6:$AU$255,0)),""))</f>
        <v/>
      </c>
      <c r="J121" s="13" t="str">
        <f aca="false">IF($A121="","",IFERROR(INDEX('ISV Inventory'!$AG$6:$AG$255,MATCH(SMALL('ISV Inventory'!$AU$6:$AU$255,$A121),'ISV Inventory'!$AU$6:$AU$255,0))&amp;"",""))</f>
        <v/>
      </c>
      <c r="K121" s="13" t="str">
        <f aca="false">IF($A121="","",IFERROR(INDEX('ISV Inventory'!$AK$6:$AK$255,MATCH(SMALL('ISV Inventory'!$AU$6:$AU$255,$A121),'ISV Inventory'!$AU$6:$AU$255,0))&amp;"",""))</f>
        <v/>
      </c>
      <c r="L121" s="13" t="str">
        <f aca="false">IF($A121="","",IFERROR(INDEX('ISV Inventory'!$AR$6:$AR$255,MATCH(SMALL('ISV Inventory'!$AU$6:$AU$255,$A121),'ISV Inventory'!$AU$6:$AU$255,0))&amp;"",""))</f>
        <v/>
      </c>
      <c r="M121" s="13" t="str">
        <f aca="false">IF($A121="","",IFERROR(INDEX('ISV Inventory'!$AS$6:$AS$255,MATCH(SMALL('ISV Inventory'!$AU$6:$AU$255,$A121),'ISV Inventory'!$AU$6:$AU$255,0))&amp;"",""))</f>
        <v/>
      </c>
    </row>
    <row r="122" customFormat="false" ht="15" hidden="false" customHeight="false" outlineLevel="0" collapsed="false">
      <c r="A122" s="13" t="str">
        <f aca="false">IF(COUNT('ISV Inventory'!$AU$6:$AU$255)&lt;118,"",118)</f>
        <v/>
      </c>
      <c r="B122" s="47" t="str">
        <f aca="false">IF($A122="","",IFERROR(INDEX('ISV Inventory'!$V$6:$V$255,MATCH(SMALL('ISV Inventory'!$AU$6:$AU$255,$A122),'ISV Inventory'!$AU$6:$AU$255,0)),""))</f>
        <v/>
      </c>
      <c r="C122" s="48" t="str">
        <f aca="false">IF($A122="","",IFERROR(INDEX('ISV Inventory'!$AA$6:$AA$255,MATCH(SMALL('ISV Inventory'!$AU$6:$AU$255,$A122),'ISV Inventory'!$AU$6:$AU$255,0)),""))</f>
        <v/>
      </c>
      <c r="D122" s="13" t="str">
        <f aca="false">IF($A122="","",IFERROR(INDEX('ISV Inventory'!$AB$6:$AB$255,MATCH(SMALL('ISV Inventory'!$AU$6:$AU$255,$A122),'ISV Inventory'!$AU$6:$AU$255,0))&amp;"",""))</f>
        <v/>
      </c>
      <c r="E122" s="13" t="str">
        <f aca="false">IF($A122="","",IFERROR(INDEX('ISV Inventory'!$B$6:$B$255,MATCH(SMALL('ISV Inventory'!$AU$6:$AU$255,$A122),'ISV Inventory'!$AU$6:$AU$255,0))&amp;"",""))</f>
        <v/>
      </c>
      <c r="F122" s="13" t="str">
        <f aca="false">IF($A122="","",IFERROR(INDEX('ISV Inventory'!$F$6:$F$255,MATCH(SMALL('ISV Inventory'!$AU$6:$AU$255,$A122),'ISV Inventory'!$AU$6:$AU$255,0))&amp;"",""))</f>
        <v/>
      </c>
      <c r="G122" s="49" t="str">
        <f aca="false">IF($A122="","",IFERROR(INDEX('ISV Inventory'!$R$6:$R$255,MATCH(SMALL('ISV Inventory'!$AU$6:$AU$255,$A122),'ISV Inventory'!$AU$6:$AU$255,0)),""))</f>
        <v/>
      </c>
      <c r="H122" s="13" t="str">
        <f aca="false">IF($A122="","",IFERROR(INDEX('ISV Inventory'!$X$6:$X$255,MATCH(SMALL('ISV Inventory'!$AU$6:$AU$255,$A122),'ISV Inventory'!$AU$6:$AU$255,0))&amp;"",""))</f>
        <v/>
      </c>
      <c r="I122" s="47" t="str">
        <f aca="false">IF($A122="","",IFERROR(INDEX('ISV Inventory'!$Z$6:$Z$255,MATCH(SMALL('ISV Inventory'!$AU$6:$AU$255,$A122),'ISV Inventory'!$AU$6:$AU$255,0)),""))</f>
        <v/>
      </c>
      <c r="J122" s="13" t="str">
        <f aca="false">IF($A122="","",IFERROR(INDEX('ISV Inventory'!$AG$6:$AG$255,MATCH(SMALL('ISV Inventory'!$AU$6:$AU$255,$A122),'ISV Inventory'!$AU$6:$AU$255,0))&amp;"",""))</f>
        <v/>
      </c>
      <c r="K122" s="13" t="str">
        <f aca="false">IF($A122="","",IFERROR(INDEX('ISV Inventory'!$AK$6:$AK$255,MATCH(SMALL('ISV Inventory'!$AU$6:$AU$255,$A122),'ISV Inventory'!$AU$6:$AU$255,0))&amp;"",""))</f>
        <v/>
      </c>
      <c r="L122" s="13" t="str">
        <f aca="false">IF($A122="","",IFERROR(INDEX('ISV Inventory'!$AR$6:$AR$255,MATCH(SMALL('ISV Inventory'!$AU$6:$AU$255,$A122),'ISV Inventory'!$AU$6:$AU$255,0))&amp;"",""))</f>
        <v/>
      </c>
      <c r="M122" s="13" t="str">
        <f aca="false">IF($A122="","",IFERROR(INDEX('ISV Inventory'!$AS$6:$AS$255,MATCH(SMALL('ISV Inventory'!$AU$6:$AU$255,$A122),'ISV Inventory'!$AU$6:$AU$255,0))&amp;"",""))</f>
        <v/>
      </c>
    </row>
    <row r="123" customFormat="false" ht="15" hidden="false" customHeight="false" outlineLevel="0" collapsed="false">
      <c r="A123" s="13" t="str">
        <f aca="false">IF(COUNT('ISV Inventory'!$AU$6:$AU$255)&lt;119,"",119)</f>
        <v/>
      </c>
      <c r="B123" s="47" t="str">
        <f aca="false">IF($A123="","",IFERROR(INDEX('ISV Inventory'!$V$6:$V$255,MATCH(SMALL('ISV Inventory'!$AU$6:$AU$255,$A123),'ISV Inventory'!$AU$6:$AU$255,0)),""))</f>
        <v/>
      </c>
      <c r="C123" s="48" t="str">
        <f aca="false">IF($A123="","",IFERROR(INDEX('ISV Inventory'!$AA$6:$AA$255,MATCH(SMALL('ISV Inventory'!$AU$6:$AU$255,$A123),'ISV Inventory'!$AU$6:$AU$255,0)),""))</f>
        <v/>
      </c>
      <c r="D123" s="13" t="str">
        <f aca="false">IF($A123="","",IFERROR(INDEX('ISV Inventory'!$AB$6:$AB$255,MATCH(SMALL('ISV Inventory'!$AU$6:$AU$255,$A123),'ISV Inventory'!$AU$6:$AU$255,0))&amp;"",""))</f>
        <v/>
      </c>
      <c r="E123" s="13" t="str">
        <f aca="false">IF($A123="","",IFERROR(INDEX('ISV Inventory'!$B$6:$B$255,MATCH(SMALL('ISV Inventory'!$AU$6:$AU$255,$A123),'ISV Inventory'!$AU$6:$AU$255,0))&amp;"",""))</f>
        <v/>
      </c>
      <c r="F123" s="13" t="str">
        <f aca="false">IF($A123="","",IFERROR(INDEX('ISV Inventory'!$F$6:$F$255,MATCH(SMALL('ISV Inventory'!$AU$6:$AU$255,$A123),'ISV Inventory'!$AU$6:$AU$255,0))&amp;"",""))</f>
        <v/>
      </c>
      <c r="G123" s="49" t="str">
        <f aca="false">IF($A123="","",IFERROR(INDEX('ISV Inventory'!$R$6:$R$255,MATCH(SMALL('ISV Inventory'!$AU$6:$AU$255,$A123),'ISV Inventory'!$AU$6:$AU$255,0)),""))</f>
        <v/>
      </c>
      <c r="H123" s="13" t="str">
        <f aca="false">IF($A123="","",IFERROR(INDEX('ISV Inventory'!$X$6:$X$255,MATCH(SMALL('ISV Inventory'!$AU$6:$AU$255,$A123),'ISV Inventory'!$AU$6:$AU$255,0))&amp;"",""))</f>
        <v/>
      </c>
      <c r="I123" s="47" t="str">
        <f aca="false">IF($A123="","",IFERROR(INDEX('ISV Inventory'!$Z$6:$Z$255,MATCH(SMALL('ISV Inventory'!$AU$6:$AU$255,$A123),'ISV Inventory'!$AU$6:$AU$255,0)),""))</f>
        <v/>
      </c>
      <c r="J123" s="13" t="str">
        <f aca="false">IF($A123="","",IFERROR(INDEX('ISV Inventory'!$AG$6:$AG$255,MATCH(SMALL('ISV Inventory'!$AU$6:$AU$255,$A123),'ISV Inventory'!$AU$6:$AU$255,0))&amp;"",""))</f>
        <v/>
      </c>
      <c r="K123" s="13" t="str">
        <f aca="false">IF($A123="","",IFERROR(INDEX('ISV Inventory'!$AK$6:$AK$255,MATCH(SMALL('ISV Inventory'!$AU$6:$AU$255,$A123),'ISV Inventory'!$AU$6:$AU$255,0))&amp;"",""))</f>
        <v/>
      </c>
      <c r="L123" s="13" t="str">
        <f aca="false">IF($A123="","",IFERROR(INDEX('ISV Inventory'!$AR$6:$AR$255,MATCH(SMALL('ISV Inventory'!$AU$6:$AU$255,$A123),'ISV Inventory'!$AU$6:$AU$255,0))&amp;"",""))</f>
        <v/>
      </c>
      <c r="M123" s="13" t="str">
        <f aca="false">IF($A123="","",IFERROR(INDEX('ISV Inventory'!$AS$6:$AS$255,MATCH(SMALL('ISV Inventory'!$AU$6:$AU$255,$A123),'ISV Inventory'!$AU$6:$AU$255,0))&amp;"",""))</f>
        <v/>
      </c>
    </row>
    <row r="124" customFormat="false" ht="15" hidden="false" customHeight="false" outlineLevel="0" collapsed="false">
      <c r="A124" s="13" t="str">
        <f aca="false">IF(COUNT('ISV Inventory'!$AU$6:$AU$255)&lt;120,"",120)</f>
        <v/>
      </c>
      <c r="B124" s="47" t="str">
        <f aca="false">IF($A124="","",IFERROR(INDEX('ISV Inventory'!$V$6:$V$255,MATCH(SMALL('ISV Inventory'!$AU$6:$AU$255,$A124),'ISV Inventory'!$AU$6:$AU$255,0)),""))</f>
        <v/>
      </c>
      <c r="C124" s="48" t="str">
        <f aca="false">IF($A124="","",IFERROR(INDEX('ISV Inventory'!$AA$6:$AA$255,MATCH(SMALL('ISV Inventory'!$AU$6:$AU$255,$A124),'ISV Inventory'!$AU$6:$AU$255,0)),""))</f>
        <v/>
      </c>
      <c r="D124" s="13" t="str">
        <f aca="false">IF($A124="","",IFERROR(INDEX('ISV Inventory'!$AB$6:$AB$255,MATCH(SMALL('ISV Inventory'!$AU$6:$AU$255,$A124),'ISV Inventory'!$AU$6:$AU$255,0))&amp;"",""))</f>
        <v/>
      </c>
      <c r="E124" s="13" t="str">
        <f aca="false">IF($A124="","",IFERROR(INDEX('ISV Inventory'!$B$6:$B$255,MATCH(SMALL('ISV Inventory'!$AU$6:$AU$255,$A124),'ISV Inventory'!$AU$6:$AU$255,0))&amp;"",""))</f>
        <v/>
      </c>
      <c r="F124" s="13" t="str">
        <f aca="false">IF($A124="","",IFERROR(INDEX('ISV Inventory'!$F$6:$F$255,MATCH(SMALL('ISV Inventory'!$AU$6:$AU$255,$A124),'ISV Inventory'!$AU$6:$AU$255,0))&amp;"",""))</f>
        <v/>
      </c>
      <c r="G124" s="49" t="str">
        <f aca="false">IF($A124="","",IFERROR(INDEX('ISV Inventory'!$R$6:$R$255,MATCH(SMALL('ISV Inventory'!$AU$6:$AU$255,$A124),'ISV Inventory'!$AU$6:$AU$255,0)),""))</f>
        <v/>
      </c>
      <c r="H124" s="13" t="str">
        <f aca="false">IF($A124="","",IFERROR(INDEX('ISV Inventory'!$X$6:$X$255,MATCH(SMALL('ISV Inventory'!$AU$6:$AU$255,$A124),'ISV Inventory'!$AU$6:$AU$255,0))&amp;"",""))</f>
        <v/>
      </c>
      <c r="I124" s="47" t="str">
        <f aca="false">IF($A124="","",IFERROR(INDEX('ISV Inventory'!$Z$6:$Z$255,MATCH(SMALL('ISV Inventory'!$AU$6:$AU$255,$A124),'ISV Inventory'!$AU$6:$AU$255,0)),""))</f>
        <v/>
      </c>
      <c r="J124" s="13" t="str">
        <f aca="false">IF($A124="","",IFERROR(INDEX('ISV Inventory'!$AG$6:$AG$255,MATCH(SMALL('ISV Inventory'!$AU$6:$AU$255,$A124),'ISV Inventory'!$AU$6:$AU$255,0))&amp;"",""))</f>
        <v/>
      </c>
      <c r="K124" s="13" t="str">
        <f aca="false">IF($A124="","",IFERROR(INDEX('ISV Inventory'!$AK$6:$AK$255,MATCH(SMALL('ISV Inventory'!$AU$6:$AU$255,$A124),'ISV Inventory'!$AU$6:$AU$255,0))&amp;"",""))</f>
        <v/>
      </c>
      <c r="L124" s="13" t="str">
        <f aca="false">IF($A124="","",IFERROR(INDEX('ISV Inventory'!$AR$6:$AR$255,MATCH(SMALL('ISV Inventory'!$AU$6:$AU$255,$A124),'ISV Inventory'!$AU$6:$AU$255,0))&amp;"",""))</f>
        <v/>
      </c>
      <c r="M124" s="13" t="str">
        <f aca="false">IF($A124="","",IFERROR(INDEX('ISV Inventory'!$AS$6:$AS$255,MATCH(SMALL('ISV Inventory'!$AU$6:$AU$255,$A124),'ISV Inventory'!$AU$6:$AU$255,0))&amp;"",""))</f>
        <v/>
      </c>
    </row>
    <row r="125" customFormat="false" ht="15" hidden="false" customHeight="false" outlineLevel="0" collapsed="false">
      <c r="A125" s="13" t="str">
        <f aca="false">IF(COUNT('ISV Inventory'!$AU$6:$AU$255)&lt;121,"",121)</f>
        <v/>
      </c>
      <c r="B125" s="47" t="str">
        <f aca="false">IF($A125="","",IFERROR(INDEX('ISV Inventory'!$V$6:$V$255,MATCH(SMALL('ISV Inventory'!$AU$6:$AU$255,$A125),'ISV Inventory'!$AU$6:$AU$255,0)),""))</f>
        <v/>
      </c>
      <c r="C125" s="48" t="str">
        <f aca="false">IF($A125="","",IFERROR(INDEX('ISV Inventory'!$AA$6:$AA$255,MATCH(SMALL('ISV Inventory'!$AU$6:$AU$255,$A125),'ISV Inventory'!$AU$6:$AU$255,0)),""))</f>
        <v/>
      </c>
      <c r="D125" s="13" t="str">
        <f aca="false">IF($A125="","",IFERROR(INDEX('ISV Inventory'!$AB$6:$AB$255,MATCH(SMALL('ISV Inventory'!$AU$6:$AU$255,$A125),'ISV Inventory'!$AU$6:$AU$255,0))&amp;"",""))</f>
        <v/>
      </c>
      <c r="E125" s="13" t="str">
        <f aca="false">IF($A125="","",IFERROR(INDEX('ISV Inventory'!$B$6:$B$255,MATCH(SMALL('ISV Inventory'!$AU$6:$AU$255,$A125),'ISV Inventory'!$AU$6:$AU$255,0))&amp;"",""))</f>
        <v/>
      </c>
      <c r="F125" s="13" t="str">
        <f aca="false">IF($A125="","",IFERROR(INDEX('ISV Inventory'!$F$6:$F$255,MATCH(SMALL('ISV Inventory'!$AU$6:$AU$255,$A125),'ISV Inventory'!$AU$6:$AU$255,0))&amp;"",""))</f>
        <v/>
      </c>
      <c r="G125" s="49" t="str">
        <f aca="false">IF($A125="","",IFERROR(INDEX('ISV Inventory'!$R$6:$R$255,MATCH(SMALL('ISV Inventory'!$AU$6:$AU$255,$A125),'ISV Inventory'!$AU$6:$AU$255,0)),""))</f>
        <v/>
      </c>
      <c r="H125" s="13" t="str">
        <f aca="false">IF($A125="","",IFERROR(INDEX('ISV Inventory'!$X$6:$X$255,MATCH(SMALL('ISV Inventory'!$AU$6:$AU$255,$A125),'ISV Inventory'!$AU$6:$AU$255,0))&amp;"",""))</f>
        <v/>
      </c>
      <c r="I125" s="47" t="str">
        <f aca="false">IF($A125="","",IFERROR(INDEX('ISV Inventory'!$Z$6:$Z$255,MATCH(SMALL('ISV Inventory'!$AU$6:$AU$255,$A125),'ISV Inventory'!$AU$6:$AU$255,0)),""))</f>
        <v/>
      </c>
      <c r="J125" s="13" t="str">
        <f aca="false">IF($A125="","",IFERROR(INDEX('ISV Inventory'!$AG$6:$AG$255,MATCH(SMALL('ISV Inventory'!$AU$6:$AU$255,$A125),'ISV Inventory'!$AU$6:$AU$255,0))&amp;"",""))</f>
        <v/>
      </c>
      <c r="K125" s="13" t="str">
        <f aca="false">IF($A125="","",IFERROR(INDEX('ISV Inventory'!$AK$6:$AK$255,MATCH(SMALL('ISV Inventory'!$AU$6:$AU$255,$A125),'ISV Inventory'!$AU$6:$AU$255,0))&amp;"",""))</f>
        <v/>
      </c>
      <c r="L125" s="13" t="str">
        <f aca="false">IF($A125="","",IFERROR(INDEX('ISV Inventory'!$AR$6:$AR$255,MATCH(SMALL('ISV Inventory'!$AU$6:$AU$255,$A125),'ISV Inventory'!$AU$6:$AU$255,0))&amp;"",""))</f>
        <v/>
      </c>
      <c r="M125" s="13" t="str">
        <f aca="false">IF($A125="","",IFERROR(INDEX('ISV Inventory'!$AS$6:$AS$255,MATCH(SMALL('ISV Inventory'!$AU$6:$AU$255,$A125),'ISV Inventory'!$AU$6:$AU$255,0))&amp;"",""))</f>
        <v/>
      </c>
    </row>
    <row r="126" customFormat="false" ht="15" hidden="false" customHeight="false" outlineLevel="0" collapsed="false">
      <c r="A126" s="13" t="str">
        <f aca="false">IF(COUNT('ISV Inventory'!$AU$6:$AU$255)&lt;122,"",122)</f>
        <v/>
      </c>
      <c r="B126" s="47" t="str">
        <f aca="false">IF($A126="","",IFERROR(INDEX('ISV Inventory'!$V$6:$V$255,MATCH(SMALL('ISV Inventory'!$AU$6:$AU$255,$A126),'ISV Inventory'!$AU$6:$AU$255,0)),""))</f>
        <v/>
      </c>
      <c r="C126" s="48" t="str">
        <f aca="false">IF($A126="","",IFERROR(INDEX('ISV Inventory'!$AA$6:$AA$255,MATCH(SMALL('ISV Inventory'!$AU$6:$AU$255,$A126),'ISV Inventory'!$AU$6:$AU$255,0)),""))</f>
        <v/>
      </c>
      <c r="D126" s="13" t="str">
        <f aca="false">IF($A126="","",IFERROR(INDEX('ISV Inventory'!$AB$6:$AB$255,MATCH(SMALL('ISV Inventory'!$AU$6:$AU$255,$A126),'ISV Inventory'!$AU$6:$AU$255,0))&amp;"",""))</f>
        <v/>
      </c>
      <c r="E126" s="13" t="str">
        <f aca="false">IF($A126="","",IFERROR(INDEX('ISV Inventory'!$B$6:$B$255,MATCH(SMALL('ISV Inventory'!$AU$6:$AU$255,$A126),'ISV Inventory'!$AU$6:$AU$255,0))&amp;"",""))</f>
        <v/>
      </c>
      <c r="F126" s="13" t="str">
        <f aca="false">IF($A126="","",IFERROR(INDEX('ISV Inventory'!$F$6:$F$255,MATCH(SMALL('ISV Inventory'!$AU$6:$AU$255,$A126),'ISV Inventory'!$AU$6:$AU$255,0))&amp;"",""))</f>
        <v/>
      </c>
      <c r="G126" s="49" t="str">
        <f aca="false">IF($A126="","",IFERROR(INDEX('ISV Inventory'!$R$6:$R$255,MATCH(SMALL('ISV Inventory'!$AU$6:$AU$255,$A126),'ISV Inventory'!$AU$6:$AU$255,0)),""))</f>
        <v/>
      </c>
      <c r="H126" s="13" t="str">
        <f aca="false">IF($A126="","",IFERROR(INDEX('ISV Inventory'!$X$6:$X$255,MATCH(SMALL('ISV Inventory'!$AU$6:$AU$255,$A126),'ISV Inventory'!$AU$6:$AU$255,0))&amp;"",""))</f>
        <v/>
      </c>
      <c r="I126" s="47" t="str">
        <f aca="false">IF($A126="","",IFERROR(INDEX('ISV Inventory'!$Z$6:$Z$255,MATCH(SMALL('ISV Inventory'!$AU$6:$AU$255,$A126),'ISV Inventory'!$AU$6:$AU$255,0)),""))</f>
        <v/>
      </c>
      <c r="J126" s="13" t="str">
        <f aca="false">IF($A126="","",IFERROR(INDEX('ISV Inventory'!$AG$6:$AG$255,MATCH(SMALL('ISV Inventory'!$AU$6:$AU$255,$A126),'ISV Inventory'!$AU$6:$AU$255,0))&amp;"",""))</f>
        <v/>
      </c>
      <c r="K126" s="13" t="str">
        <f aca="false">IF($A126="","",IFERROR(INDEX('ISV Inventory'!$AK$6:$AK$255,MATCH(SMALL('ISV Inventory'!$AU$6:$AU$255,$A126),'ISV Inventory'!$AU$6:$AU$255,0))&amp;"",""))</f>
        <v/>
      </c>
      <c r="L126" s="13" t="str">
        <f aca="false">IF($A126="","",IFERROR(INDEX('ISV Inventory'!$AR$6:$AR$255,MATCH(SMALL('ISV Inventory'!$AU$6:$AU$255,$A126),'ISV Inventory'!$AU$6:$AU$255,0))&amp;"",""))</f>
        <v/>
      </c>
      <c r="M126" s="13" t="str">
        <f aca="false">IF($A126="","",IFERROR(INDEX('ISV Inventory'!$AS$6:$AS$255,MATCH(SMALL('ISV Inventory'!$AU$6:$AU$255,$A126),'ISV Inventory'!$AU$6:$AU$255,0))&amp;"",""))</f>
        <v/>
      </c>
    </row>
    <row r="127" customFormat="false" ht="15" hidden="false" customHeight="false" outlineLevel="0" collapsed="false">
      <c r="A127" s="13" t="str">
        <f aca="false">IF(COUNT('ISV Inventory'!$AU$6:$AU$255)&lt;123,"",123)</f>
        <v/>
      </c>
      <c r="B127" s="47" t="str">
        <f aca="false">IF($A127="","",IFERROR(INDEX('ISV Inventory'!$V$6:$V$255,MATCH(SMALL('ISV Inventory'!$AU$6:$AU$255,$A127),'ISV Inventory'!$AU$6:$AU$255,0)),""))</f>
        <v/>
      </c>
      <c r="C127" s="48" t="str">
        <f aca="false">IF($A127="","",IFERROR(INDEX('ISV Inventory'!$AA$6:$AA$255,MATCH(SMALL('ISV Inventory'!$AU$6:$AU$255,$A127),'ISV Inventory'!$AU$6:$AU$255,0)),""))</f>
        <v/>
      </c>
      <c r="D127" s="13" t="str">
        <f aca="false">IF($A127="","",IFERROR(INDEX('ISV Inventory'!$AB$6:$AB$255,MATCH(SMALL('ISV Inventory'!$AU$6:$AU$255,$A127),'ISV Inventory'!$AU$6:$AU$255,0))&amp;"",""))</f>
        <v/>
      </c>
      <c r="E127" s="13" t="str">
        <f aca="false">IF($A127="","",IFERROR(INDEX('ISV Inventory'!$B$6:$B$255,MATCH(SMALL('ISV Inventory'!$AU$6:$AU$255,$A127),'ISV Inventory'!$AU$6:$AU$255,0))&amp;"",""))</f>
        <v/>
      </c>
      <c r="F127" s="13" t="str">
        <f aca="false">IF($A127="","",IFERROR(INDEX('ISV Inventory'!$F$6:$F$255,MATCH(SMALL('ISV Inventory'!$AU$6:$AU$255,$A127),'ISV Inventory'!$AU$6:$AU$255,0))&amp;"",""))</f>
        <v/>
      </c>
      <c r="G127" s="49" t="str">
        <f aca="false">IF($A127="","",IFERROR(INDEX('ISV Inventory'!$R$6:$R$255,MATCH(SMALL('ISV Inventory'!$AU$6:$AU$255,$A127),'ISV Inventory'!$AU$6:$AU$255,0)),""))</f>
        <v/>
      </c>
      <c r="H127" s="13" t="str">
        <f aca="false">IF($A127="","",IFERROR(INDEX('ISV Inventory'!$X$6:$X$255,MATCH(SMALL('ISV Inventory'!$AU$6:$AU$255,$A127),'ISV Inventory'!$AU$6:$AU$255,0))&amp;"",""))</f>
        <v/>
      </c>
      <c r="I127" s="47" t="str">
        <f aca="false">IF($A127="","",IFERROR(INDEX('ISV Inventory'!$Z$6:$Z$255,MATCH(SMALL('ISV Inventory'!$AU$6:$AU$255,$A127),'ISV Inventory'!$AU$6:$AU$255,0)),""))</f>
        <v/>
      </c>
      <c r="J127" s="13" t="str">
        <f aca="false">IF($A127="","",IFERROR(INDEX('ISV Inventory'!$AG$6:$AG$255,MATCH(SMALL('ISV Inventory'!$AU$6:$AU$255,$A127),'ISV Inventory'!$AU$6:$AU$255,0))&amp;"",""))</f>
        <v/>
      </c>
      <c r="K127" s="13" t="str">
        <f aca="false">IF($A127="","",IFERROR(INDEX('ISV Inventory'!$AK$6:$AK$255,MATCH(SMALL('ISV Inventory'!$AU$6:$AU$255,$A127),'ISV Inventory'!$AU$6:$AU$255,0))&amp;"",""))</f>
        <v/>
      </c>
      <c r="L127" s="13" t="str">
        <f aca="false">IF($A127="","",IFERROR(INDEX('ISV Inventory'!$AR$6:$AR$255,MATCH(SMALL('ISV Inventory'!$AU$6:$AU$255,$A127),'ISV Inventory'!$AU$6:$AU$255,0))&amp;"",""))</f>
        <v/>
      </c>
      <c r="M127" s="13" t="str">
        <f aca="false">IF($A127="","",IFERROR(INDEX('ISV Inventory'!$AS$6:$AS$255,MATCH(SMALL('ISV Inventory'!$AU$6:$AU$255,$A127),'ISV Inventory'!$AU$6:$AU$255,0))&amp;"",""))</f>
        <v/>
      </c>
    </row>
    <row r="128" customFormat="false" ht="15" hidden="false" customHeight="false" outlineLevel="0" collapsed="false">
      <c r="A128" s="13" t="str">
        <f aca="false">IF(COUNT('ISV Inventory'!$AU$6:$AU$255)&lt;124,"",124)</f>
        <v/>
      </c>
      <c r="B128" s="47" t="str">
        <f aca="false">IF($A128="","",IFERROR(INDEX('ISV Inventory'!$V$6:$V$255,MATCH(SMALL('ISV Inventory'!$AU$6:$AU$255,$A128),'ISV Inventory'!$AU$6:$AU$255,0)),""))</f>
        <v/>
      </c>
      <c r="C128" s="48" t="str">
        <f aca="false">IF($A128="","",IFERROR(INDEX('ISV Inventory'!$AA$6:$AA$255,MATCH(SMALL('ISV Inventory'!$AU$6:$AU$255,$A128),'ISV Inventory'!$AU$6:$AU$255,0)),""))</f>
        <v/>
      </c>
      <c r="D128" s="13" t="str">
        <f aca="false">IF($A128="","",IFERROR(INDEX('ISV Inventory'!$AB$6:$AB$255,MATCH(SMALL('ISV Inventory'!$AU$6:$AU$255,$A128),'ISV Inventory'!$AU$6:$AU$255,0))&amp;"",""))</f>
        <v/>
      </c>
      <c r="E128" s="13" t="str">
        <f aca="false">IF($A128="","",IFERROR(INDEX('ISV Inventory'!$B$6:$B$255,MATCH(SMALL('ISV Inventory'!$AU$6:$AU$255,$A128),'ISV Inventory'!$AU$6:$AU$255,0))&amp;"",""))</f>
        <v/>
      </c>
      <c r="F128" s="13" t="str">
        <f aca="false">IF($A128="","",IFERROR(INDEX('ISV Inventory'!$F$6:$F$255,MATCH(SMALL('ISV Inventory'!$AU$6:$AU$255,$A128),'ISV Inventory'!$AU$6:$AU$255,0))&amp;"",""))</f>
        <v/>
      </c>
      <c r="G128" s="49" t="str">
        <f aca="false">IF($A128="","",IFERROR(INDEX('ISV Inventory'!$R$6:$R$255,MATCH(SMALL('ISV Inventory'!$AU$6:$AU$255,$A128),'ISV Inventory'!$AU$6:$AU$255,0)),""))</f>
        <v/>
      </c>
      <c r="H128" s="13" t="str">
        <f aca="false">IF($A128="","",IFERROR(INDEX('ISV Inventory'!$X$6:$X$255,MATCH(SMALL('ISV Inventory'!$AU$6:$AU$255,$A128),'ISV Inventory'!$AU$6:$AU$255,0))&amp;"",""))</f>
        <v/>
      </c>
      <c r="I128" s="47" t="str">
        <f aca="false">IF($A128="","",IFERROR(INDEX('ISV Inventory'!$Z$6:$Z$255,MATCH(SMALL('ISV Inventory'!$AU$6:$AU$255,$A128),'ISV Inventory'!$AU$6:$AU$255,0)),""))</f>
        <v/>
      </c>
      <c r="J128" s="13" t="str">
        <f aca="false">IF($A128="","",IFERROR(INDEX('ISV Inventory'!$AG$6:$AG$255,MATCH(SMALL('ISV Inventory'!$AU$6:$AU$255,$A128),'ISV Inventory'!$AU$6:$AU$255,0))&amp;"",""))</f>
        <v/>
      </c>
      <c r="K128" s="13" t="str">
        <f aca="false">IF($A128="","",IFERROR(INDEX('ISV Inventory'!$AK$6:$AK$255,MATCH(SMALL('ISV Inventory'!$AU$6:$AU$255,$A128),'ISV Inventory'!$AU$6:$AU$255,0))&amp;"",""))</f>
        <v/>
      </c>
      <c r="L128" s="13" t="str">
        <f aca="false">IF($A128="","",IFERROR(INDEX('ISV Inventory'!$AR$6:$AR$255,MATCH(SMALL('ISV Inventory'!$AU$6:$AU$255,$A128),'ISV Inventory'!$AU$6:$AU$255,0))&amp;"",""))</f>
        <v/>
      </c>
      <c r="M128" s="13" t="str">
        <f aca="false">IF($A128="","",IFERROR(INDEX('ISV Inventory'!$AS$6:$AS$255,MATCH(SMALL('ISV Inventory'!$AU$6:$AU$255,$A128),'ISV Inventory'!$AU$6:$AU$255,0))&amp;"",""))</f>
        <v/>
      </c>
    </row>
    <row r="129" customFormat="false" ht="15" hidden="false" customHeight="false" outlineLevel="0" collapsed="false">
      <c r="A129" s="13" t="str">
        <f aca="false">IF(COUNT('ISV Inventory'!$AU$6:$AU$255)&lt;125,"",125)</f>
        <v/>
      </c>
      <c r="B129" s="47" t="str">
        <f aca="false">IF($A129="","",IFERROR(INDEX('ISV Inventory'!$V$6:$V$255,MATCH(SMALL('ISV Inventory'!$AU$6:$AU$255,$A129),'ISV Inventory'!$AU$6:$AU$255,0)),""))</f>
        <v/>
      </c>
      <c r="C129" s="48" t="str">
        <f aca="false">IF($A129="","",IFERROR(INDEX('ISV Inventory'!$AA$6:$AA$255,MATCH(SMALL('ISV Inventory'!$AU$6:$AU$255,$A129),'ISV Inventory'!$AU$6:$AU$255,0)),""))</f>
        <v/>
      </c>
      <c r="D129" s="13" t="str">
        <f aca="false">IF($A129="","",IFERROR(INDEX('ISV Inventory'!$AB$6:$AB$255,MATCH(SMALL('ISV Inventory'!$AU$6:$AU$255,$A129),'ISV Inventory'!$AU$6:$AU$255,0))&amp;"",""))</f>
        <v/>
      </c>
      <c r="E129" s="13" t="str">
        <f aca="false">IF($A129="","",IFERROR(INDEX('ISV Inventory'!$B$6:$B$255,MATCH(SMALL('ISV Inventory'!$AU$6:$AU$255,$A129),'ISV Inventory'!$AU$6:$AU$255,0))&amp;"",""))</f>
        <v/>
      </c>
      <c r="F129" s="13" t="str">
        <f aca="false">IF($A129="","",IFERROR(INDEX('ISV Inventory'!$F$6:$F$255,MATCH(SMALL('ISV Inventory'!$AU$6:$AU$255,$A129),'ISV Inventory'!$AU$6:$AU$255,0))&amp;"",""))</f>
        <v/>
      </c>
      <c r="G129" s="49" t="str">
        <f aca="false">IF($A129="","",IFERROR(INDEX('ISV Inventory'!$R$6:$R$255,MATCH(SMALL('ISV Inventory'!$AU$6:$AU$255,$A129),'ISV Inventory'!$AU$6:$AU$255,0)),""))</f>
        <v/>
      </c>
      <c r="H129" s="13" t="str">
        <f aca="false">IF($A129="","",IFERROR(INDEX('ISV Inventory'!$X$6:$X$255,MATCH(SMALL('ISV Inventory'!$AU$6:$AU$255,$A129),'ISV Inventory'!$AU$6:$AU$255,0))&amp;"",""))</f>
        <v/>
      </c>
      <c r="I129" s="47" t="str">
        <f aca="false">IF($A129="","",IFERROR(INDEX('ISV Inventory'!$Z$6:$Z$255,MATCH(SMALL('ISV Inventory'!$AU$6:$AU$255,$A129),'ISV Inventory'!$AU$6:$AU$255,0)),""))</f>
        <v/>
      </c>
      <c r="J129" s="13" t="str">
        <f aca="false">IF($A129="","",IFERROR(INDEX('ISV Inventory'!$AG$6:$AG$255,MATCH(SMALL('ISV Inventory'!$AU$6:$AU$255,$A129),'ISV Inventory'!$AU$6:$AU$255,0))&amp;"",""))</f>
        <v/>
      </c>
      <c r="K129" s="13" t="str">
        <f aca="false">IF($A129="","",IFERROR(INDEX('ISV Inventory'!$AK$6:$AK$255,MATCH(SMALL('ISV Inventory'!$AU$6:$AU$255,$A129),'ISV Inventory'!$AU$6:$AU$255,0))&amp;"",""))</f>
        <v/>
      </c>
      <c r="L129" s="13" t="str">
        <f aca="false">IF($A129="","",IFERROR(INDEX('ISV Inventory'!$AR$6:$AR$255,MATCH(SMALL('ISV Inventory'!$AU$6:$AU$255,$A129),'ISV Inventory'!$AU$6:$AU$255,0))&amp;"",""))</f>
        <v/>
      </c>
      <c r="M129" s="13" t="str">
        <f aca="false">IF($A129="","",IFERROR(INDEX('ISV Inventory'!$AS$6:$AS$255,MATCH(SMALL('ISV Inventory'!$AU$6:$AU$255,$A129),'ISV Inventory'!$AU$6:$AU$255,0))&amp;"",""))</f>
        <v/>
      </c>
    </row>
    <row r="130" customFormat="false" ht="15" hidden="false" customHeight="false" outlineLevel="0" collapsed="false">
      <c r="A130" s="13" t="str">
        <f aca="false">IF(COUNT('ISV Inventory'!$AU$6:$AU$255)&lt;126,"",126)</f>
        <v/>
      </c>
      <c r="B130" s="47" t="str">
        <f aca="false">IF($A130="","",IFERROR(INDEX('ISV Inventory'!$V$6:$V$255,MATCH(SMALL('ISV Inventory'!$AU$6:$AU$255,$A130),'ISV Inventory'!$AU$6:$AU$255,0)),""))</f>
        <v/>
      </c>
      <c r="C130" s="48" t="str">
        <f aca="false">IF($A130="","",IFERROR(INDEX('ISV Inventory'!$AA$6:$AA$255,MATCH(SMALL('ISV Inventory'!$AU$6:$AU$255,$A130),'ISV Inventory'!$AU$6:$AU$255,0)),""))</f>
        <v/>
      </c>
      <c r="D130" s="13" t="str">
        <f aca="false">IF($A130="","",IFERROR(INDEX('ISV Inventory'!$AB$6:$AB$255,MATCH(SMALL('ISV Inventory'!$AU$6:$AU$255,$A130),'ISV Inventory'!$AU$6:$AU$255,0))&amp;"",""))</f>
        <v/>
      </c>
      <c r="E130" s="13" t="str">
        <f aca="false">IF($A130="","",IFERROR(INDEX('ISV Inventory'!$B$6:$B$255,MATCH(SMALL('ISV Inventory'!$AU$6:$AU$255,$A130),'ISV Inventory'!$AU$6:$AU$255,0))&amp;"",""))</f>
        <v/>
      </c>
      <c r="F130" s="13" t="str">
        <f aca="false">IF($A130="","",IFERROR(INDEX('ISV Inventory'!$F$6:$F$255,MATCH(SMALL('ISV Inventory'!$AU$6:$AU$255,$A130),'ISV Inventory'!$AU$6:$AU$255,0))&amp;"",""))</f>
        <v/>
      </c>
      <c r="G130" s="49" t="str">
        <f aca="false">IF($A130="","",IFERROR(INDEX('ISV Inventory'!$R$6:$R$255,MATCH(SMALL('ISV Inventory'!$AU$6:$AU$255,$A130),'ISV Inventory'!$AU$6:$AU$255,0)),""))</f>
        <v/>
      </c>
      <c r="H130" s="13" t="str">
        <f aca="false">IF($A130="","",IFERROR(INDEX('ISV Inventory'!$X$6:$X$255,MATCH(SMALL('ISV Inventory'!$AU$6:$AU$255,$A130),'ISV Inventory'!$AU$6:$AU$255,0))&amp;"",""))</f>
        <v/>
      </c>
      <c r="I130" s="47" t="str">
        <f aca="false">IF($A130="","",IFERROR(INDEX('ISV Inventory'!$Z$6:$Z$255,MATCH(SMALL('ISV Inventory'!$AU$6:$AU$255,$A130),'ISV Inventory'!$AU$6:$AU$255,0)),""))</f>
        <v/>
      </c>
      <c r="J130" s="13" t="str">
        <f aca="false">IF($A130="","",IFERROR(INDEX('ISV Inventory'!$AG$6:$AG$255,MATCH(SMALL('ISV Inventory'!$AU$6:$AU$255,$A130),'ISV Inventory'!$AU$6:$AU$255,0))&amp;"",""))</f>
        <v/>
      </c>
      <c r="K130" s="13" t="str">
        <f aca="false">IF($A130="","",IFERROR(INDEX('ISV Inventory'!$AK$6:$AK$255,MATCH(SMALL('ISV Inventory'!$AU$6:$AU$255,$A130),'ISV Inventory'!$AU$6:$AU$255,0))&amp;"",""))</f>
        <v/>
      </c>
      <c r="L130" s="13" t="str">
        <f aca="false">IF($A130="","",IFERROR(INDEX('ISV Inventory'!$AR$6:$AR$255,MATCH(SMALL('ISV Inventory'!$AU$6:$AU$255,$A130),'ISV Inventory'!$AU$6:$AU$255,0))&amp;"",""))</f>
        <v/>
      </c>
      <c r="M130" s="13" t="str">
        <f aca="false">IF($A130="","",IFERROR(INDEX('ISV Inventory'!$AS$6:$AS$255,MATCH(SMALL('ISV Inventory'!$AU$6:$AU$255,$A130),'ISV Inventory'!$AU$6:$AU$255,0))&amp;"",""))</f>
        <v/>
      </c>
    </row>
    <row r="131" customFormat="false" ht="15" hidden="false" customHeight="false" outlineLevel="0" collapsed="false">
      <c r="A131" s="13" t="str">
        <f aca="false">IF(COUNT('ISV Inventory'!$AU$6:$AU$255)&lt;127,"",127)</f>
        <v/>
      </c>
      <c r="B131" s="47" t="str">
        <f aca="false">IF($A131="","",IFERROR(INDEX('ISV Inventory'!$V$6:$V$255,MATCH(SMALL('ISV Inventory'!$AU$6:$AU$255,$A131),'ISV Inventory'!$AU$6:$AU$255,0)),""))</f>
        <v/>
      </c>
      <c r="C131" s="48" t="str">
        <f aca="false">IF($A131="","",IFERROR(INDEX('ISV Inventory'!$AA$6:$AA$255,MATCH(SMALL('ISV Inventory'!$AU$6:$AU$255,$A131),'ISV Inventory'!$AU$6:$AU$255,0)),""))</f>
        <v/>
      </c>
      <c r="D131" s="13" t="str">
        <f aca="false">IF($A131="","",IFERROR(INDEX('ISV Inventory'!$AB$6:$AB$255,MATCH(SMALL('ISV Inventory'!$AU$6:$AU$255,$A131),'ISV Inventory'!$AU$6:$AU$255,0))&amp;"",""))</f>
        <v/>
      </c>
      <c r="E131" s="13" t="str">
        <f aca="false">IF($A131="","",IFERROR(INDEX('ISV Inventory'!$B$6:$B$255,MATCH(SMALL('ISV Inventory'!$AU$6:$AU$255,$A131),'ISV Inventory'!$AU$6:$AU$255,0))&amp;"",""))</f>
        <v/>
      </c>
      <c r="F131" s="13" t="str">
        <f aca="false">IF($A131="","",IFERROR(INDEX('ISV Inventory'!$F$6:$F$255,MATCH(SMALL('ISV Inventory'!$AU$6:$AU$255,$A131),'ISV Inventory'!$AU$6:$AU$255,0))&amp;"",""))</f>
        <v/>
      </c>
      <c r="G131" s="49" t="str">
        <f aca="false">IF($A131="","",IFERROR(INDEX('ISV Inventory'!$R$6:$R$255,MATCH(SMALL('ISV Inventory'!$AU$6:$AU$255,$A131),'ISV Inventory'!$AU$6:$AU$255,0)),""))</f>
        <v/>
      </c>
      <c r="H131" s="13" t="str">
        <f aca="false">IF($A131="","",IFERROR(INDEX('ISV Inventory'!$X$6:$X$255,MATCH(SMALL('ISV Inventory'!$AU$6:$AU$255,$A131),'ISV Inventory'!$AU$6:$AU$255,0))&amp;"",""))</f>
        <v/>
      </c>
      <c r="I131" s="47" t="str">
        <f aca="false">IF($A131="","",IFERROR(INDEX('ISV Inventory'!$Z$6:$Z$255,MATCH(SMALL('ISV Inventory'!$AU$6:$AU$255,$A131),'ISV Inventory'!$AU$6:$AU$255,0)),""))</f>
        <v/>
      </c>
      <c r="J131" s="13" t="str">
        <f aca="false">IF($A131="","",IFERROR(INDEX('ISV Inventory'!$AG$6:$AG$255,MATCH(SMALL('ISV Inventory'!$AU$6:$AU$255,$A131),'ISV Inventory'!$AU$6:$AU$255,0))&amp;"",""))</f>
        <v/>
      </c>
      <c r="K131" s="13" t="str">
        <f aca="false">IF($A131="","",IFERROR(INDEX('ISV Inventory'!$AK$6:$AK$255,MATCH(SMALL('ISV Inventory'!$AU$6:$AU$255,$A131),'ISV Inventory'!$AU$6:$AU$255,0))&amp;"",""))</f>
        <v/>
      </c>
      <c r="L131" s="13" t="str">
        <f aca="false">IF($A131="","",IFERROR(INDEX('ISV Inventory'!$AR$6:$AR$255,MATCH(SMALL('ISV Inventory'!$AU$6:$AU$255,$A131),'ISV Inventory'!$AU$6:$AU$255,0))&amp;"",""))</f>
        <v/>
      </c>
      <c r="M131" s="13" t="str">
        <f aca="false">IF($A131="","",IFERROR(INDEX('ISV Inventory'!$AS$6:$AS$255,MATCH(SMALL('ISV Inventory'!$AU$6:$AU$255,$A131),'ISV Inventory'!$AU$6:$AU$255,0))&amp;"",""))</f>
        <v/>
      </c>
    </row>
    <row r="132" customFormat="false" ht="15" hidden="false" customHeight="false" outlineLevel="0" collapsed="false">
      <c r="A132" s="13" t="str">
        <f aca="false">IF(COUNT('ISV Inventory'!$AU$6:$AU$255)&lt;128,"",128)</f>
        <v/>
      </c>
      <c r="B132" s="47" t="str">
        <f aca="false">IF($A132="","",IFERROR(INDEX('ISV Inventory'!$V$6:$V$255,MATCH(SMALL('ISV Inventory'!$AU$6:$AU$255,$A132),'ISV Inventory'!$AU$6:$AU$255,0)),""))</f>
        <v/>
      </c>
      <c r="C132" s="48" t="str">
        <f aca="false">IF($A132="","",IFERROR(INDEX('ISV Inventory'!$AA$6:$AA$255,MATCH(SMALL('ISV Inventory'!$AU$6:$AU$255,$A132),'ISV Inventory'!$AU$6:$AU$255,0)),""))</f>
        <v/>
      </c>
      <c r="D132" s="13" t="str">
        <f aca="false">IF($A132="","",IFERROR(INDEX('ISV Inventory'!$AB$6:$AB$255,MATCH(SMALL('ISV Inventory'!$AU$6:$AU$255,$A132),'ISV Inventory'!$AU$6:$AU$255,0))&amp;"",""))</f>
        <v/>
      </c>
      <c r="E132" s="13" t="str">
        <f aca="false">IF($A132="","",IFERROR(INDEX('ISV Inventory'!$B$6:$B$255,MATCH(SMALL('ISV Inventory'!$AU$6:$AU$255,$A132),'ISV Inventory'!$AU$6:$AU$255,0))&amp;"",""))</f>
        <v/>
      </c>
      <c r="F132" s="13" t="str">
        <f aca="false">IF($A132="","",IFERROR(INDEX('ISV Inventory'!$F$6:$F$255,MATCH(SMALL('ISV Inventory'!$AU$6:$AU$255,$A132),'ISV Inventory'!$AU$6:$AU$255,0))&amp;"",""))</f>
        <v/>
      </c>
      <c r="G132" s="49" t="str">
        <f aca="false">IF($A132="","",IFERROR(INDEX('ISV Inventory'!$R$6:$R$255,MATCH(SMALL('ISV Inventory'!$AU$6:$AU$255,$A132),'ISV Inventory'!$AU$6:$AU$255,0)),""))</f>
        <v/>
      </c>
      <c r="H132" s="13" t="str">
        <f aca="false">IF($A132="","",IFERROR(INDEX('ISV Inventory'!$X$6:$X$255,MATCH(SMALL('ISV Inventory'!$AU$6:$AU$255,$A132),'ISV Inventory'!$AU$6:$AU$255,0))&amp;"",""))</f>
        <v/>
      </c>
      <c r="I132" s="47" t="str">
        <f aca="false">IF($A132="","",IFERROR(INDEX('ISV Inventory'!$Z$6:$Z$255,MATCH(SMALL('ISV Inventory'!$AU$6:$AU$255,$A132),'ISV Inventory'!$AU$6:$AU$255,0)),""))</f>
        <v/>
      </c>
      <c r="J132" s="13" t="str">
        <f aca="false">IF($A132="","",IFERROR(INDEX('ISV Inventory'!$AG$6:$AG$255,MATCH(SMALL('ISV Inventory'!$AU$6:$AU$255,$A132),'ISV Inventory'!$AU$6:$AU$255,0))&amp;"",""))</f>
        <v/>
      </c>
      <c r="K132" s="13" t="str">
        <f aca="false">IF($A132="","",IFERROR(INDEX('ISV Inventory'!$AK$6:$AK$255,MATCH(SMALL('ISV Inventory'!$AU$6:$AU$255,$A132),'ISV Inventory'!$AU$6:$AU$255,0))&amp;"",""))</f>
        <v/>
      </c>
      <c r="L132" s="13" t="str">
        <f aca="false">IF($A132="","",IFERROR(INDEX('ISV Inventory'!$AR$6:$AR$255,MATCH(SMALL('ISV Inventory'!$AU$6:$AU$255,$A132),'ISV Inventory'!$AU$6:$AU$255,0))&amp;"",""))</f>
        <v/>
      </c>
      <c r="M132" s="13" t="str">
        <f aca="false">IF($A132="","",IFERROR(INDEX('ISV Inventory'!$AS$6:$AS$255,MATCH(SMALL('ISV Inventory'!$AU$6:$AU$255,$A132),'ISV Inventory'!$AU$6:$AU$255,0))&amp;"",""))</f>
        <v/>
      </c>
    </row>
    <row r="133" customFormat="false" ht="15" hidden="false" customHeight="false" outlineLevel="0" collapsed="false">
      <c r="A133" s="13" t="str">
        <f aca="false">IF(COUNT('ISV Inventory'!$AU$6:$AU$255)&lt;129,"",129)</f>
        <v/>
      </c>
      <c r="B133" s="47" t="str">
        <f aca="false">IF($A133="","",IFERROR(INDEX('ISV Inventory'!$V$6:$V$255,MATCH(SMALL('ISV Inventory'!$AU$6:$AU$255,$A133),'ISV Inventory'!$AU$6:$AU$255,0)),""))</f>
        <v/>
      </c>
      <c r="C133" s="48" t="str">
        <f aca="false">IF($A133="","",IFERROR(INDEX('ISV Inventory'!$AA$6:$AA$255,MATCH(SMALL('ISV Inventory'!$AU$6:$AU$255,$A133),'ISV Inventory'!$AU$6:$AU$255,0)),""))</f>
        <v/>
      </c>
      <c r="D133" s="13" t="str">
        <f aca="false">IF($A133="","",IFERROR(INDEX('ISV Inventory'!$AB$6:$AB$255,MATCH(SMALL('ISV Inventory'!$AU$6:$AU$255,$A133),'ISV Inventory'!$AU$6:$AU$255,0))&amp;"",""))</f>
        <v/>
      </c>
      <c r="E133" s="13" t="str">
        <f aca="false">IF($A133="","",IFERROR(INDEX('ISV Inventory'!$B$6:$B$255,MATCH(SMALL('ISV Inventory'!$AU$6:$AU$255,$A133),'ISV Inventory'!$AU$6:$AU$255,0))&amp;"",""))</f>
        <v/>
      </c>
      <c r="F133" s="13" t="str">
        <f aca="false">IF($A133="","",IFERROR(INDEX('ISV Inventory'!$F$6:$F$255,MATCH(SMALL('ISV Inventory'!$AU$6:$AU$255,$A133),'ISV Inventory'!$AU$6:$AU$255,0))&amp;"",""))</f>
        <v/>
      </c>
      <c r="G133" s="49" t="str">
        <f aca="false">IF($A133="","",IFERROR(INDEX('ISV Inventory'!$R$6:$R$255,MATCH(SMALL('ISV Inventory'!$AU$6:$AU$255,$A133),'ISV Inventory'!$AU$6:$AU$255,0)),""))</f>
        <v/>
      </c>
      <c r="H133" s="13" t="str">
        <f aca="false">IF($A133="","",IFERROR(INDEX('ISV Inventory'!$X$6:$X$255,MATCH(SMALL('ISV Inventory'!$AU$6:$AU$255,$A133),'ISV Inventory'!$AU$6:$AU$255,0))&amp;"",""))</f>
        <v/>
      </c>
      <c r="I133" s="47" t="str">
        <f aca="false">IF($A133="","",IFERROR(INDEX('ISV Inventory'!$Z$6:$Z$255,MATCH(SMALL('ISV Inventory'!$AU$6:$AU$255,$A133),'ISV Inventory'!$AU$6:$AU$255,0)),""))</f>
        <v/>
      </c>
      <c r="J133" s="13" t="str">
        <f aca="false">IF($A133="","",IFERROR(INDEX('ISV Inventory'!$AG$6:$AG$255,MATCH(SMALL('ISV Inventory'!$AU$6:$AU$255,$A133),'ISV Inventory'!$AU$6:$AU$255,0))&amp;"",""))</f>
        <v/>
      </c>
      <c r="K133" s="13" t="str">
        <f aca="false">IF($A133="","",IFERROR(INDEX('ISV Inventory'!$AK$6:$AK$255,MATCH(SMALL('ISV Inventory'!$AU$6:$AU$255,$A133),'ISV Inventory'!$AU$6:$AU$255,0))&amp;"",""))</f>
        <v/>
      </c>
      <c r="L133" s="13" t="str">
        <f aca="false">IF($A133="","",IFERROR(INDEX('ISV Inventory'!$AR$6:$AR$255,MATCH(SMALL('ISV Inventory'!$AU$6:$AU$255,$A133),'ISV Inventory'!$AU$6:$AU$255,0))&amp;"",""))</f>
        <v/>
      </c>
      <c r="M133" s="13" t="str">
        <f aca="false">IF($A133="","",IFERROR(INDEX('ISV Inventory'!$AS$6:$AS$255,MATCH(SMALL('ISV Inventory'!$AU$6:$AU$255,$A133),'ISV Inventory'!$AU$6:$AU$255,0))&amp;"",""))</f>
        <v/>
      </c>
    </row>
    <row r="134" customFormat="false" ht="15" hidden="false" customHeight="false" outlineLevel="0" collapsed="false">
      <c r="A134" s="13" t="str">
        <f aca="false">IF(COUNT('ISV Inventory'!$AU$6:$AU$255)&lt;130,"",130)</f>
        <v/>
      </c>
      <c r="B134" s="47" t="str">
        <f aca="false">IF($A134="","",IFERROR(INDEX('ISV Inventory'!$V$6:$V$255,MATCH(SMALL('ISV Inventory'!$AU$6:$AU$255,$A134),'ISV Inventory'!$AU$6:$AU$255,0)),""))</f>
        <v/>
      </c>
      <c r="C134" s="48" t="str">
        <f aca="false">IF($A134="","",IFERROR(INDEX('ISV Inventory'!$AA$6:$AA$255,MATCH(SMALL('ISV Inventory'!$AU$6:$AU$255,$A134),'ISV Inventory'!$AU$6:$AU$255,0)),""))</f>
        <v/>
      </c>
      <c r="D134" s="13" t="str">
        <f aca="false">IF($A134="","",IFERROR(INDEX('ISV Inventory'!$AB$6:$AB$255,MATCH(SMALL('ISV Inventory'!$AU$6:$AU$255,$A134),'ISV Inventory'!$AU$6:$AU$255,0))&amp;"",""))</f>
        <v/>
      </c>
      <c r="E134" s="13" t="str">
        <f aca="false">IF($A134="","",IFERROR(INDEX('ISV Inventory'!$B$6:$B$255,MATCH(SMALL('ISV Inventory'!$AU$6:$AU$255,$A134),'ISV Inventory'!$AU$6:$AU$255,0))&amp;"",""))</f>
        <v/>
      </c>
      <c r="F134" s="13" t="str">
        <f aca="false">IF($A134="","",IFERROR(INDEX('ISV Inventory'!$F$6:$F$255,MATCH(SMALL('ISV Inventory'!$AU$6:$AU$255,$A134),'ISV Inventory'!$AU$6:$AU$255,0))&amp;"",""))</f>
        <v/>
      </c>
      <c r="G134" s="49" t="str">
        <f aca="false">IF($A134="","",IFERROR(INDEX('ISV Inventory'!$R$6:$R$255,MATCH(SMALL('ISV Inventory'!$AU$6:$AU$255,$A134),'ISV Inventory'!$AU$6:$AU$255,0)),""))</f>
        <v/>
      </c>
      <c r="H134" s="13" t="str">
        <f aca="false">IF($A134="","",IFERROR(INDEX('ISV Inventory'!$X$6:$X$255,MATCH(SMALL('ISV Inventory'!$AU$6:$AU$255,$A134),'ISV Inventory'!$AU$6:$AU$255,0))&amp;"",""))</f>
        <v/>
      </c>
      <c r="I134" s="47" t="str">
        <f aca="false">IF($A134="","",IFERROR(INDEX('ISV Inventory'!$Z$6:$Z$255,MATCH(SMALL('ISV Inventory'!$AU$6:$AU$255,$A134),'ISV Inventory'!$AU$6:$AU$255,0)),""))</f>
        <v/>
      </c>
      <c r="J134" s="13" t="str">
        <f aca="false">IF($A134="","",IFERROR(INDEX('ISV Inventory'!$AG$6:$AG$255,MATCH(SMALL('ISV Inventory'!$AU$6:$AU$255,$A134),'ISV Inventory'!$AU$6:$AU$255,0))&amp;"",""))</f>
        <v/>
      </c>
      <c r="K134" s="13" t="str">
        <f aca="false">IF($A134="","",IFERROR(INDEX('ISV Inventory'!$AK$6:$AK$255,MATCH(SMALL('ISV Inventory'!$AU$6:$AU$255,$A134),'ISV Inventory'!$AU$6:$AU$255,0))&amp;"",""))</f>
        <v/>
      </c>
      <c r="L134" s="13" t="str">
        <f aca="false">IF($A134="","",IFERROR(INDEX('ISV Inventory'!$AR$6:$AR$255,MATCH(SMALL('ISV Inventory'!$AU$6:$AU$255,$A134),'ISV Inventory'!$AU$6:$AU$255,0))&amp;"",""))</f>
        <v/>
      </c>
      <c r="M134" s="13" t="str">
        <f aca="false">IF($A134="","",IFERROR(INDEX('ISV Inventory'!$AS$6:$AS$255,MATCH(SMALL('ISV Inventory'!$AU$6:$AU$255,$A134),'ISV Inventory'!$AU$6:$AU$255,0))&amp;"",""))</f>
        <v/>
      </c>
    </row>
    <row r="135" customFormat="false" ht="15" hidden="false" customHeight="false" outlineLevel="0" collapsed="false">
      <c r="A135" s="13" t="str">
        <f aca="false">IF(COUNT('ISV Inventory'!$AU$6:$AU$255)&lt;131,"",131)</f>
        <v/>
      </c>
      <c r="B135" s="47" t="str">
        <f aca="false">IF($A135="","",IFERROR(INDEX('ISV Inventory'!$V$6:$V$255,MATCH(SMALL('ISV Inventory'!$AU$6:$AU$255,$A135),'ISV Inventory'!$AU$6:$AU$255,0)),""))</f>
        <v/>
      </c>
      <c r="C135" s="48" t="str">
        <f aca="false">IF($A135="","",IFERROR(INDEX('ISV Inventory'!$AA$6:$AA$255,MATCH(SMALL('ISV Inventory'!$AU$6:$AU$255,$A135),'ISV Inventory'!$AU$6:$AU$255,0)),""))</f>
        <v/>
      </c>
      <c r="D135" s="13" t="str">
        <f aca="false">IF($A135="","",IFERROR(INDEX('ISV Inventory'!$AB$6:$AB$255,MATCH(SMALL('ISV Inventory'!$AU$6:$AU$255,$A135),'ISV Inventory'!$AU$6:$AU$255,0))&amp;"",""))</f>
        <v/>
      </c>
      <c r="E135" s="13" t="str">
        <f aca="false">IF($A135="","",IFERROR(INDEX('ISV Inventory'!$B$6:$B$255,MATCH(SMALL('ISV Inventory'!$AU$6:$AU$255,$A135),'ISV Inventory'!$AU$6:$AU$255,0))&amp;"",""))</f>
        <v/>
      </c>
      <c r="F135" s="13" t="str">
        <f aca="false">IF($A135="","",IFERROR(INDEX('ISV Inventory'!$F$6:$F$255,MATCH(SMALL('ISV Inventory'!$AU$6:$AU$255,$A135),'ISV Inventory'!$AU$6:$AU$255,0))&amp;"",""))</f>
        <v/>
      </c>
      <c r="G135" s="49" t="str">
        <f aca="false">IF($A135="","",IFERROR(INDEX('ISV Inventory'!$R$6:$R$255,MATCH(SMALL('ISV Inventory'!$AU$6:$AU$255,$A135),'ISV Inventory'!$AU$6:$AU$255,0)),""))</f>
        <v/>
      </c>
      <c r="H135" s="13" t="str">
        <f aca="false">IF($A135="","",IFERROR(INDEX('ISV Inventory'!$X$6:$X$255,MATCH(SMALL('ISV Inventory'!$AU$6:$AU$255,$A135),'ISV Inventory'!$AU$6:$AU$255,0))&amp;"",""))</f>
        <v/>
      </c>
      <c r="I135" s="47" t="str">
        <f aca="false">IF($A135="","",IFERROR(INDEX('ISV Inventory'!$Z$6:$Z$255,MATCH(SMALL('ISV Inventory'!$AU$6:$AU$255,$A135),'ISV Inventory'!$AU$6:$AU$255,0)),""))</f>
        <v/>
      </c>
      <c r="J135" s="13" t="str">
        <f aca="false">IF($A135="","",IFERROR(INDEX('ISV Inventory'!$AG$6:$AG$255,MATCH(SMALL('ISV Inventory'!$AU$6:$AU$255,$A135),'ISV Inventory'!$AU$6:$AU$255,0))&amp;"",""))</f>
        <v/>
      </c>
      <c r="K135" s="13" t="str">
        <f aca="false">IF($A135="","",IFERROR(INDEX('ISV Inventory'!$AK$6:$AK$255,MATCH(SMALL('ISV Inventory'!$AU$6:$AU$255,$A135),'ISV Inventory'!$AU$6:$AU$255,0))&amp;"",""))</f>
        <v/>
      </c>
      <c r="L135" s="13" t="str">
        <f aca="false">IF($A135="","",IFERROR(INDEX('ISV Inventory'!$AR$6:$AR$255,MATCH(SMALL('ISV Inventory'!$AU$6:$AU$255,$A135),'ISV Inventory'!$AU$6:$AU$255,0))&amp;"",""))</f>
        <v/>
      </c>
      <c r="M135" s="13" t="str">
        <f aca="false">IF($A135="","",IFERROR(INDEX('ISV Inventory'!$AS$6:$AS$255,MATCH(SMALL('ISV Inventory'!$AU$6:$AU$255,$A135),'ISV Inventory'!$AU$6:$AU$255,0))&amp;"",""))</f>
        <v/>
      </c>
    </row>
    <row r="136" customFormat="false" ht="15" hidden="false" customHeight="false" outlineLevel="0" collapsed="false">
      <c r="A136" s="13" t="str">
        <f aca="false">IF(COUNT('ISV Inventory'!$AU$6:$AU$255)&lt;132,"",132)</f>
        <v/>
      </c>
      <c r="B136" s="47" t="str">
        <f aca="false">IF($A136="","",IFERROR(INDEX('ISV Inventory'!$V$6:$V$255,MATCH(SMALL('ISV Inventory'!$AU$6:$AU$255,$A136),'ISV Inventory'!$AU$6:$AU$255,0)),""))</f>
        <v/>
      </c>
      <c r="C136" s="48" t="str">
        <f aca="false">IF($A136="","",IFERROR(INDEX('ISV Inventory'!$AA$6:$AA$255,MATCH(SMALL('ISV Inventory'!$AU$6:$AU$255,$A136),'ISV Inventory'!$AU$6:$AU$255,0)),""))</f>
        <v/>
      </c>
      <c r="D136" s="13" t="str">
        <f aca="false">IF($A136="","",IFERROR(INDEX('ISV Inventory'!$AB$6:$AB$255,MATCH(SMALL('ISV Inventory'!$AU$6:$AU$255,$A136),'ISV Inventory'!$AU$6:$AU$255,0))&amp;"",""))</f>
        <v/>
      </c>
      <c r="E136" s="13" t="str">
        <f aca="false">IF($A136="","",IFERROR(INDEX('ISV Inventory'!$B$6:$B$255,MATCH(SMALL('ISV Inventory'!$AU$6:$AU$255,$A136),'ISV Inventory'!$AU$6:$AU$255,0))&amp;"",""))</f>
        <v/>
      </c>
      <c r="F136" s="13" t="str">
        <f aca="false">IF($A136="","",IFERROR(INDEX('ISV Inventory'!$F$6:$F$255,MATCH(SMALL('ISV Inventory'!$AU$6:$AU$255,$A136),'ISV Inventory'!$AU$6:$AU$255,0))&amp;"",""))</f>
        <v/>
      </c>
      <c r="G136" s="49" t="str">
        <f aca="false">IF($A136="","",IFERROR(INDEX('ISV Inventory'!$R$6:$R$255,MATCH(SMALL('ISV Inventory'!$AU$6:$AU$255,$A136),'ISV Inventory'!$AU$6:$AU$255,0)),""))</f>
        <v/>
      </c>
      <c r="H136" s="13" t="str">
        <f aca="false">IF($A136="","",IFERROR(INDEX('ISV Inventory'!$X$6:$X$255,MATCH(SMALL('ISV Inventory'!$AU$6:$AU$255,$A136),'ISV Inventory'!$AU$6:$AU$255,0))&amp;"",""))</f>
        <v/>
      </c>
      <c r="I136" s="47" t="str">
        <f aca="false">IF($A136="","",IFERROR(INDEX('ISV Inventory'!$Z$6:$Z$255,MATCH(SMALL('ISV Inventory'!$AU$6:$AU$255,$A136),'ISV Inventory'!$AU$6:$AU$255,0)),""))</f>
        <v/>
      </c>
      <c r="J136" s="13" t="str">
        <f aca="false">IF($A136="","",IFERROR(INDEX('ISV Inventory'!$AG$6:$AG$255,MATCH(SMALL('ISV Inventory'!$AU$6:$AU$255,$A136),'ISV Inventory'!$AU$6:$AU$255,0))&amp;"",""))</f>
        <v/>
      </c>
      <c r="K136" s="13" t="str">
        <f aca="false">IF($A136="","",IFERROR(INDEX('ISV Inventory'!$AK$6:$AK$255,MATCH(SMALL('ISV Inventory'!$AU$6:$AU$255,$A136),'ISV Inventory'!$AU$6:$AU$255,0))&amp;"",""))</f>
        <v/>
      </c>
      <c r="L136" s="13" t="str">
        <f aca="false">IF($A136="","",IFERROR(INDEX('ISV Inventory'!$AR$6:$AR$255,MATCH(SMALL('ISV Inventory'!$AU$6:$AU$255,$A136),'ISV Inventory'!$AU$6:$AU$255,0))&amp;"",""))</f>
        <v/>
      </c>
      <c r="M136" s="13" t="str">
        <f aca="false">IF($A136="","",IFERROR(INDEX('ISV Inventory'!$AS$6:$AS$255,MATCH(SMALL('ISV Inventory'!$AU$6:$AU$255,$A136),'ISV Inventory'!$AU$6:$AU$255,0))&amp;"",""))</f>
        <v/>
      </c>
    </row>
    <row r="137" customFormat="false" ht="15" hidden="false" customHeight="false" outlineLevel="0" collapsed="false">
      <c r="A137" s="13" t="str">
        <f aca="false">IF(COUNT('ISV Inventory'!$AU$6:$AU$255)&lt;133,"",133)</f>
        <v/>
      </c>
      <c r="B137" s="47" t="str">
        <f aca="false">IF($A137="","",IFERROR(INDEX('ISV Inventory'!$V$6:$V$255,MATCH(SMALL('ISV Inventory'!$AU$6:$AU$255,$A137),'ISV Inventory'!$AU$6:$AU$255,0)),""))</f>
        <v/>
      </c>
      <c r="C137" s="48" t="str">
        <f aca="false">IF($A137="","",IFERROR(INDEX('ISV Inventory'!$AA$6:$AA$255,MATCH(SMALL('ISV Inventory'!$AU$6:$AU$255,$A137),'ISV Inventory'!$AU$6:$AU$255,0)),""))</f>
        <v/>
      </c>
      <c r="D137" s="13" t="str">
        <f aca="false">IF($A137="","",IFERROR(INDEX('ISV Inventory'!$AB$6:$AB$255,MATCH(SMALL('ISV Inventory'!$AU$6:$AU$255,$A137),'ISV Inventory'!$AU$6:$AU$255,0))&amp;"",""))</f>
        <v/>
      </c>
      <c r="E137" s="13" t="str">
        <f aca="false">IF($A137="","",IFERROR(INDEX('ISV Inventory'!$B$6:$B$255,MATCH(SMALL('ISV Inventory'!$AU$6:$AU$255,$A137),'ISV Inventory'!$AU$6:$AU$255,0))&amp;"",""))</f>
        <v/>
      </c>
      <c r="F137" s="13" t="str">
        <f aca="false">IF($A137="","",IFERROR(INDEX('ISV Inventory'!$F$6:$F$255,MATCH(SMALL('ISV Inventory'!$AU$6:$AU$255,$A137),'ISV Inventory'!$AU$6:$AU$255,0))&amp;"",""))</f>
        <v/>
      </c>
      <c r="G137" s="49" t="str">
        <f aca="false">IF($A137="","",IFERROR(INDEX('ISV Inventory'!$R$6:$R$255,MATCH(SMALL('ISV Inventory'!$AU$6:$AU$255,$A137),'ISV Inventory'!$AU$6:$AU$255,0)),""))</f>
        <v/>
      </c>
      <c r="H137" s="13" t="str">
        <f aca="false">IF($A137="","",IFERROR(INDEX('ISV Inventory'!$X$6:$X$255,MATCH(SMALL('ISV Inventory'!$AU$6:$AU$255,$A137),'ISV Inventory'!$AU$6:$AU$255,0))&amp;"",""))</f>
        <v/>
      </c>
      <c r="I137" s="47" t="str">
        <f aca="false">IF($A137="","",IFERROR(INDEX('ISV Inventory'!$Z$6:$Z$255,MATCH(SMALL('ISV Inventory'!$AU$6:$AU$255,$A137),'ISV Inventory'!$AU$6:$AU$255,0)),""))</f>
        <v/>
      </c>
      <c r="J137" s="13" t="str">
        <f aca="false">IF($A137="","",IFERROR(INDEX('ISV Inventory'!$AG$6:$AG$255,MATCH(SMALL('ISV Inventory'!$AU$6:$AU$255,$A137),'ISV Inventory'!$AU$6:$AU$255,0))&amp;"",""))</f>
        <v/>
      </c>
      <c r="K137" s="13" t="str">
        <f aca="false">IF($A137="","",IFERROR(INDEX('ISV Inventory'!$AK$6:$AK$255,MATCH(SMALL('ISV Inventory'!$AU$6:$AU$255,$A137),'ISV Inventory'!$AU$6:$AU$255,0))&amp;"",""))</f>
        <v/>
      </c>
      <c r="L137" s="13" t="str">
        <f aca="false">IF($A137="","",IFERROR(INDEX('ISV Inventory'!$AR$6:$AR$255,MATCH(SMALL('ISV Inventory'!$AU$6:$AU$255,$A137),'ISV Inventory'!$AU$6:$AU$255,0))&amp;"",""))</f>
        <v/>
      </c>
      <c r="M137" s="13" t="str">
        <f aca="false">IF($A137="","",IFERROR(INDEX('ISV Inventory'!$AS$6:$AS$255,MATCH(SMALL('ISV Inventory'!$AU$6:$AU$255,$A137),'ISV Inventory'!$AU$6:$AU$255,0))&amp;"",""))</f>
        <v/>
      </c>
    </row>
    <row r="138" customFormat="false" ht="15" hidden="false" customHeight="false" outlineLevel="0" collapsed="false">
      <c r="A138" s="13" t="str">
        <f aca="false">IF(COUNT('ISV Inventory'!$AU$6:$AU$255)&lt;134,"",134)</f>
        <v/>
      </c>
      <c r="B138" s="47" t="str">
        <f aca="false">IF($A138="","",IFERROR(INDEX('ISV Inventory'!$V$6:$V$255,MATCH(SMALL('ISV Inventory'!$AU$6:$AU$255,$A138),'ISV Inventory'!$AU$6:$AU$255,0)),""))</f>
        <v/>
      </c>
      <c r="C138" s="48" t="str">
        <f aca="false">IF($A138="","",IFERROR(INDEX('ISV Inventory'!$AA$6:$AA$255,MATCH(SMALL('ISV Inventory'!$AU$6:$AU$255,$A138),'ISV Inventory'!$AU$6:$AU$255,0)),""))</f>
        <v/>
      </c>
      <c r="D138" s="13" t="str">
        <f aca="false">IF($A138="","",IFERROR(INDEX('ISV Inventory'!$AB$6:$AB$255,MATCH(SMALL('ISV Inventory'!$AU$6:$AU$255,$A138),'ISV Inventory'!$AU$6:$AU$255,0))&amp;"",""))</f>
        <v/>
      </c>
      <c r="E138" s="13" t="str">
        <f aca="false">IF($A138="","",IFERROR(INDEX('ISV Inventory'!$B$6:$B$255,MATCH(SMALL('ISV Inventory'!$AU$6:$AU$255,$A138),'ISV Inventory'!$AU$6:$AU$255,0))&amp;"",""))</f>
        <v/>
      </c>
      <c r="F138" s="13" t="str">
        <f aca="false">IF($A138="","",IFERROR(INDEX('ISV Inventory'!$F$6:$F$255,MATCH(SMALL('ISV Inventory'!$AU$6:$AU$255,$A138),'ISV Inventory'!$AU$6:$AU$255,0))&amp;"",""))</f>
        <v/>
      </c>
      <c r="G138" s="49" t="str">
        <f aca="false">IF($A138="","",IFERROR(INDEX('ISV Inventory'!$R$6:$R$255,MATCH(SMALL('ISV Inventory'!$AU$6:$AU$255,$A138),'ISV Inventory'!$AU$6:$AU$255,0)),""))</f>
        <v/>
      </c>
      <c r="H138" s="13" t="str">
        <f aca="false">IF($A138="","",IFERROR(INDEX('ISV Inventory'!$X$6:$X$255,MATCH(SMALL('ISV Inventory'!$AU$6:$AU$255,$A138),'ISV Inventory'!$AU$6:$AU$255,0))&amp;"",""))</f>
        <v/>
      </c>
      <c r="I138" s="47" t="str">
        <f aca="false">IF($A138="","",IFERROR(INDEX('ISV Inventory'!$Z$6:$Z$255,MATCH(SMALL('ISV Inventory'!$AU$6:$AU$255,$A138),'ISV Inventory'!$AU$6:$AU$255,0)),""))</f>
        <v/>
      </c>
      <c r="J138" s="13" t="str">
        <f aca="false">IF($A138="","",IFERROR(INDEX('ISV Inventory'!$AG$6:$AG$255,MATCH(SMALL('ISV Inventory'!$AU$6:$AU$255,$A138),'ISV Inventory'!$AU$6:$AU$255,0))&amp;"",""))</f>
        <v/>
      </c>
      <c r="K138" s="13" t="str">
        <f aca="false">IF($A138="","",IFERROR(INDEX('ISV Inventory'!$AK$6:$AK$255,MATCH(SMALL('ISV Inventory'!$AU$6:$AU$255,$A138),'ISV Inventory'!$AU$6:$AU$255,0))&amp;"",""))</f>
        <v/>
      </c>
      <c r="L138" s="13" t="str">
        <f aca="false">IF($A138="","",IFERROR(INDEX('ISV Inventory'!$AR$6:$AR$255,MATCH(SMALL('ISV Inventory'!$AU$6:$AU$255,$A138),'ISV Inventory'!$AU$6:$AU$255,0))&amp;"",""))</f>
        <v/>
      </c>
      <c r="M138" s="13" t="str">
        <f aca="false">IF($A138="","",IFERROR(INDEX('ISV Inventory'!$AS$6:$AS$255,MATCH(SMALL('ISV Inventory'!$AU$6:$AU$255,$A138),'ISV Inventory'!$AU$6:$AU$255,0))&amp;"",""))</f>
        <v/>
      </c>
    </row>
    <row r="139" customFormat="false" ht="15" hidden="false" customHeight="false" outlineLevel="0" collapsed="false">
      <c r="A139" s="13" t="str">
        <f aca="false">IF(COUNT('ISV Inventory'!$AU$6:$AU$255)&lt;135,"",135)</f>
        <v/>
      </c>
      <c r="B139" s="47" t="str">
        <f aca="false">IF($A139="","",IFERROR(INDEX('ISV Inventory'!$V$6:$V$255,MATCH(SMALL('ISV Inventory'!$AU$6:$AU$255,$A139),'ISV Inventory'!$AU$6:$AU$255,0)),""))</f>
        <v/>
      </c>
      <c r="C139" s="48" t="str">
        <f aca="false">IF($A139="","",IFERROR(INDEX('ISV Inventory'!$AA$6:$AA$255,MATCH(SMALL('ISV Inventory'!$AU$6:$AU$255,$A139),'ISV Inventory'!$AU$6:$AU$255,0)),""))</f>
        <v/>
      </c>
      <c r="D139" s="13" t="str">
        <f aca="false">IF($A139="","",IFERROR(INDEX('ISV Inventory'!$AB$6:$AB$255,MATCH(SMALL('ISV Inventory'!$AU$6:$AU$255,$A139),'ISV Inventory'!$AU$6:$AU$255,0))&amp;"",""))</f>
        <v/>
      </c>
      <c r="E139" s="13" t="str">
        <f aca="false">IF($A139="","",IFERROR(INDEX('ISV Inventory'!$B$6:$B$255,MATCH(SMALL('ISV Inventory'!$AU$6:$AU$255,$A139),'ISV Inventory'!$AU$6:$AU$255,0))&amp;"",""))</f>
        <v/>
      </c>
      <c r="F139" s="13" t="str">
        <f aca="false">IF($A139="","",IFERROR(INDEX('ISV Inventory'!$F$6:$F$255,MATCH(SMALL('ISV Inventory'!$AU$6:$AU$255,$A139),'ISV Inventory'!$AU$6:$AU$255,0))&amp;"",""))</f>
        <v/>
      </c>
      <c r="G139" s="49" t="str">
        <f aca="false">IF($A139="","",IFERROR(INDEX('ISV Inventory'!$R$6:$R$255,MATCH(SMALL('ISV Inventory'!$AU$6:$AU$255,$A139),'ISV Inventory'!$AU$6:$AU$255,0)),""))</f>
        <v/>
      </c>
      <c r="H139" s="13" t="str">
        <f aca="false">IF($A139="","",IFERROR(INDEX('ISV Inventory'!$X$6:$X$255,MATCH(SMALL('ISV Inventory'!$AU$6:$AU$255,$A139),'ISV Inventory'!$AU$6:$AU$255,0))&amp;"",""))</f>
        <v/>
      </c>
      <c r="I139" s="47" t="str">
        <f aca="false">IF($A139="","",IFERROR(INDEX('ISV Inventory'!$Z$6:$Z$255,MATCH(SMALL('ISV Inventory'!$AU$6:$AU$255,$A139),'ISV Inventory'!$AU$6:$AU$255,0)),""))</f>
        <v/>
      </c>
      <c r="J139" s="13" t="str">
        <f aca="false">IF($A139="","",IFERROR(INDEX('ISV Inventory'!$AG$6:$AG$255,MATCH(SMALL('ISV Inventory'!$AU$6:$AU$255,$A139),'ISV Inventory'!$AU$6:$AU$255,0))&amp;"",""))</f>
        <v/>
      </c>
      <c r="K139" s="13" t="str">
        <f aca="false">IF($A139="","",IFERROR(INDEX('ISV Inventory'!$AK$6:$AK$255,MATCH(SMALL('ISV Inventory'!$AU$6:$AU$255,$A139),'ISV Inventory'!$AU$6:$AU$255,0))&amp;"",""))</f>
        <v/>
      </c>
      <c r="L139" s="13" t="str">
        <f aca="false">IF($A139="","",IFERROR(INDEX('ISV Inventory'!$AR$6:$AR$255,MATCH(SMALL('ISV Inventory'!$AU$6:$AU$255,$A139),'ISV Inventory'!$AU$6:$AU$255,0))&amp;"",""))</f>
        <v/>
      </c>
      <c r="M139" s="13" t="str">
        <f aca="false">IF($A139="","",IFERROR(INDEX('ISV Inventory'!$AS$6:$AS$255,MATCH(SMALL('ISV Inventory'!$AU$6:$AU$255,$A139),'ISV Inventory'!$AU$6:$AU$255,0))&amp;"",""))</f>
        <v/>
      </c>
    </row>
    <row r="140" customFormat="false" ht="15" hidden="false" customHeight="false" outlineLevel="0" collapsed="false">
      <c r="A140" s="13" t="str">
        <f aca="false">IF(COUNT('ISV Inventory'!$AU$6:$AU$255)&lt;136,"",136)</f>
        <v/>
      </c>
      <c r="B140" s="47" t="str">
        <f aca="false">IF($A140="","",IFERROR(INDEX('ISV Inventory'!$V$6:$V$255,MATCH(SMALL('ISV Inventory'!$AU$6:$AU$255,$A140),'ISV Inventory'!$AU$6:$AU$255,0)),""))</f>
        <v/>
      </c>
      <c r="C140" s="48" t="str">
        <f aca="false">IF($A140="","",IFERROR(INDEX('ISV Inventory'!$AA$6:$AA$255,MATCH(SMALL('ISV Inventory'!$AU$6:$AU$255,$A140),'ISV Inventory'!$AU$6:$AU$255,0)),""))</f>
        <v/>
      </c>
      <c r="D140" s="13" t="str">
        <f aca="false">IF($A140="","",IFERROR(INDEX('ISV Inventory'!$AB$6:$AB$255,MATCH(SMALL('ISV Inventory'!$AU$6:$AU$255,$A140),'ISV Inventory'!$AU$6:$AU$255,0))&amp;"",""))</f>
        <v/>
      </c>
      <c r="E140" s="13" t="str">
        <f aca="false">IF($A140="","",IFERROR(INDEX('ISV Inventory'!$B$6:$B$255,MATCH(SMALL('ISV Inventory'!$AU$6:$AU$255,$A140),'ISV Inventory'!$AU$6:$AU$255,0))&amp;"",""))</f>
        <v/>
      </c>
      <c r="F140" s="13" t="str">
        <f aca="false">IF($A140="","",IFERROR(INDEX('ISV Inventory'!$F$6:$F$255,MATCH(SMALL('ISV Inventory'!$AU$6:$AU$255,$A140),'ISV Inventory'!$AU$6:$AU$255,0))&amp;"",""))</f>
        <v/>
      </c>
      <c r="G140" s="49" t="str">
        <f aca="false">IF($A140="","",IFERROR(INDEX('ISV Inventory'!$R$6:$R$255,MATCH(SMALL('ISV Inventory'!$AU$6:$AU$255,$A140),'ISV Inventory'!$AU$6:$AU$255,0)),""))</f>
        <v/>
      </c>
      <c r="H140" s="13" t="str">
        <f aca="false">IF($A140="","",IFERROR(INDEX('ISV Inventory'!$X$6:$X$255,MATCH(SMALL('ISV Inventory'!$AU$6:$AU$255,$A140),'ISV Inventory'!$AU$6:$AU$255,0))&amp;"",""))</f>
        <v/>
      </c>
      <c r="I140" s="47" t="str">
        <f aca="false">IF($A140="","",IFERROR(INDEX('ISV Inventory'!$Z$6:$Z$255,MATCH(SMALL('ISV Inventory'!$AU$6:$AU$255,$A140),'ISV Inventory'!$AU$6:$AU$255,0)),""))</f>
        <v/>
      </c>
      <c r="J140" s="13" t="str">
        <f aca="false">IF($A140="","",IFERROR(INDEX('ISV Inventory'!$AG$6:$AG$255,MATCH(SMALL('ISV Inventory'!$AU$6:$AU$255,$A140),'ISV Inventory'!$AU$6:$AU$255,0))&amp;"",""))</f>
        <v/>
      </c>
      <c r="K140" s="13" t="str">
        <f aca="false">IF($A140="","",IFERROR(INDEX('ISV Inventory'!$AK$6:$AK$255,MATCH(SMALL('ISV Inventory'!$AU$6:$AU$255,$A140),'ISV Inventory'!$AU$6:$AU$255,0))&amp;"",""))</f>
        <v/>
      </c>
      <c r="L140" s="13" t="str">
        <f aca="false">IF($A140="","",IFERROR(INDEX('ISV Inventory'!$AR$6:$AR$255,MATCH(SMALL('ISV Inventory'!$AU$6:$AU$255,$A140),'ISV Inventory'!$AU$6:$AU$255,0))&amp;"",""))</f>
        <v/>
      </c>
      <c r="M140" s="13" t="str">
        <f aca="false">IF($A140="","",IFERROR(INDEX('ISV Inventory'!$AS$6:$AS$255,MATCH(SMALL('ISV Inventory'!$AU$6:$AU$255,$A140),'ISV Inventory'!$AU$6:$AU$255,0))&amp;"",""))</f>
        <v/>
      </c>
    </row>
    <row r="141" customFormat="false" ht="15" hidden="false" customHeight="false" outlineLevel="0" collapsed="false">
      <c r="A141" s="13" t="str">
        <f aca="false">IF(COUNT('ISV Inventory'!$AU$6:$AU$255)&lt;137,"",137)</f>
        <v/>
      </c>
      <c r="B141" s="47" t="str">
        <f aca="false">IF($A141="","",IFERROR(INDEX('ISV Inventory'!$V$6:$V$255,MATCH(SMALL('ISV Inventory'!$AU$6:$AU$255,$A141),'ISV Inventory'!$AU$6:$AU$255,0)),""))</f>
        <v/>
      </c>
      <c r="C141" s="48" t="str">
        <f aca="false">IF($A141="","",IFERROR(INDEX('ISV Inventory'!$AA$6:$AA$255,MATCH(SMALL('ISV Inventory'!$AU$6:$AU$255,$A141),'ISV Inventory'!$AU$6:$AU$255,0)),""))</f>
        <v/>
      </c>
      <c r="D141" s="13" t="str">
        <f aca="false">IF($A141="","",IFERROR(INDEX('ISV Inventory'!$AB$6:$AB$255,MATCH(SMALL('ISV Inventory'!$AU$6:$AU$255,$A141),'ISV Inventory'!$AU$6:$AU$255,0))&amp;"",""))</f>
        <v/>
      </c>
      <c r="E141" s="13" t="str">
        <f aca="false">IF($A141="","",IFERROR(INDEX('ISV Inventory'!$B$6:$B$255,MATCH(SMALL('ISV Inventory'!$AU$6:$AU$255,$A141),'ISV Inventory'!$AU$6:$AU$255,0))&amp;"",""))</f>
        <v/>
      </c>
      <c r="F141" s="13" t="str">
        <f aca="false">IF($A141="","",IFERROR(INDEX('ISV Inventory'!$F$6:$F$255,MATCH(SMALL('ISV Inventory'!$AU$6:$AU$255,$A141),'ISV Inventory'!$AU$6:$AU$255,0))&amp;"",""))</f>
        <v/>
      </c>
      <c r="G141" s="49" t="str">
        <f aca="false">IF($A141="","",IFERROR(INDEX('ISV Inventory'!$R$6:$R$255,MATCH(SMALL('ISV Inventory'!$AU$6:$AU$255,$A141),'ISV Inventory'!$AU$6:$AU$255,0)),""))</f>
        <v/>
      </c>
      <c r="H141" s="13" t="str">
        <f aca="false">IF($A141="","",IFERROR(INDEX('ISV Inventory'!$X$6:$X$255,MATCH(SMALL('ISV Inventory'!$AU$6:$AU$255,$A141),'ISV Inventory'!$AU$6:$AU$255,0))&amp;"",""))</f>
        <v/>
      </c>
      <c r="I141" s="47" t="str">
        <f aca="false">IF($A141="","",IFERROR(INDEX('ISV Inventory'!$Z$6:$Z$255,MATCH(SMALL('ISV Inventory'!$AU$6:$AU$255,$A141),'ISV Inventory'!$AU$6:$AU$255,0)),""))</f>
        <v/>
      </c>
      <c r="J141" s="13" t="str">
        <f aca="false">IF($A141="","",IFERROR(INDEX('ISV Inventory'!$AG$6:$AG$255,MATCH(SMALL('ISV Inventory'!$AU$6:$AU$255,$A141),'ISV Inventory'!$AU$6:$AU$255,0))&amp;"",""))</f>
        <v/>
      </c>
      <c r="K141" s="13" t="str">
        <f aca="false">IF($A141="","",IFERROR(INDEX('ISV Inventory'!$AK$6:$AK$255,MATCH(SMALL('ISV Inventory'!$AU$6:$AU$255,$A141),'ISV Inventory'!$AU$6:$AU$255,0))&amp;"",""))</f>
        <v/>
      </c>
      <c r="L141" s="13" t="str">
        <f aca="false">IF($A141="","",IFERROR(INDEX('ISV Inventory'!$AR$6:$AR$255,MATCH(SMALL('ISV Inventory'!$AU$6:$AU$255,$A141),'ISV Inventory'!$AU$6:$AU$255,0))&amp;"",""))</f>
        <v/>
      </c>
      <c r="M141" s="13" t="str">
        <f aca="false">IF($A141="","",IFERROR(INDEX('ISV Inventory'!$AS$6:$AS$255,MATCH(SMALL('ISV Inventory'!$AU$6:$AU$255,$A141),'ISV Inventory'!$AU$6:$AU$255,0))&amp;"",""))</f>
        <v/>
      </c>
    </row>
    <row r="142" customFormat="false" ht="15" hidden="false" customHeight="false" outlineLevel="0" collapsed="false">
      <c r="A142" s="13" t="str">
        <f aca="false">IF(COUNT('ISV Inventory'!$AU$6:$AU$255)&lt;138,"",138)</f>
        <v/>
      </c>
      <c r="B142" s="47" t="str">
        <f aca="false">IF($A142="","",IFERROR(INDEX('ISV Inventory'!$V$6:$V$255,MATCH(SMALL('ISV Inventory'!$AU$6:$AU$255,$A142),'ISV Inventory'!$AU$6:$AU$255,0)),""))</f>
        <v/>
      </c>
      <c r="C142" s="48" t="str">
        <f aca="false">IF($A142="","",IFERROR(INDEX('ISV Inventory'!$AA$6:$AA$255,MATCH(SMALL('ISV Inventory'!$AU$6:$AU$255,$A142),'ISV Inventory'!$AU$6:$AU$255,0)),""))</f>
        <v/>
      </c>
      <c r="D142" s="13" t="str">
        <f aca="false">IF($A142="","",IFERROR(INDEX('ISV Inventory'!$AB$6:$AB$255,MATCH(SMALL('ISV Inventory'!$AU$6:$AU$255,$A142),'ISV Inventory'!$AU$6:$AU$255,0))&amp;"",""))</f>
        <v/>
      </c>
      <c r="E142" s="13" t="str">
        <f aca="false">IF($A142="","",IFERROR(INDEX('ISV Inventory'!$B$6:$B$255,MATCH(SMALL('ISV Inventory'!$AU$6:$AU$255,$A142),'ISV Inventory'!$AU$6:$AU$255,0))&amp;"",""))</f>
        <v/>
      </c>
      <c r="F142" s="13" t="str">
        <f aca="false">IF($A142="","",IFERROR(INDEX('ISV Inventory'!$F$6:$F$255,MATCH(SMALL('ISV Inventory'!$AU$6:$AU$255,$A142),'ISV Inventory'!$AU$6:$AU$255,0))&amp;"",""))</f>
        <v/>
      </c>
      <c r="G142" s="49" t="str">
        <f aca="false">IF($A142="","",IFERROR(INDEX('ISV Inventory'!$R$6:$R$255,MATCH(SMALL('ISV Inventory'!$AU$6:$AU$255,$A142),'ISV Inventory'!$AU$6:$AU$255,0)),""))</f>
        <v/>
      </c>
      <c r="H142" s="13" t="str">
        <f aca="false">IF($A142="","",IFERROR(INDEX('ISV Inventory'!$X$6:$X$255,MATCH(SMALL('ISV Inventory'!$AU$6:$AU$255,$A142),'ISV Inventory'!$AU$6:$AU$255,0))&amp;"",""))</f>
        <v/>
      </c>
      <c r="I142" s="47" t="str">
        <f aca="false">IF($A142="","",IFERROR(INDEX('ISV Inventory'!$Z$6:$Z$255,MATCH(SMALL('ISV Inventory'!$AU$6:$AU$255,$A142),'ISV Inventory'!$AU$6:$AU$255,0)),""))</f>
        <v/>
      </c>
      <c r="J142" s="13" t="str">
        <f aca="false">IF($A142="","",IFERROR(INDEX('ISV Inventory'!$AG$6:$AG$255,MATCH(SMALL('ISV Inventory'!$AU$6:$AU$255,$A142),'ISV Inventory'!$AU$6:$AU$255,0))&amp;"",""))</f>
        <v/>
      </c>
      <c r="K142" s="13" t="str">
        <f aca="false">IF($A142="","",IFERROR(INDEX('ISV Inventory'!$AK$6:$AK$255,MATCH(SMALL('ISV Inventory'!$AU$6:$AU$255,$A142),'ISV Inventory'!$AU$6:$AU$255,0))&amp;"",""))</f>
        <v/>
      </c>
      <c r="L142" s="13" t="str">
        <f aca="false">IF($A142="","",IFERROR(INDEX('ISV Inventory'!$AR$6:$AR$255,MATCH(SMALL('ISV Inventory'!$AU$6:$AU$255,$A142),'ISV Inventory'!$AU$6:$AU$255,0))&amp;"",""))</f>
        <v/>
      </c>
      <c r="M142" s="13" t="str">
        <f aca="false">IF($A142="","",IFERROR(INDEX('ISV Inventory'!$AS$6:$AS$255,MATCH(SMALL('ISV Inventory'!$AU$6:$AU$255,$A142),'ISV Inventory'!$AU$6:$AU$255,0))&amp;"",""))</f>
        <v/>
      </c>
    </row>
    <row r="143" customFormat="false" ht="15" hidden="false" customHeight="false" outlineLevel="0" collapsed="false">
      <c r="A143" s="13" t="str">
        <f aca="false">IF(COUNT('ISV Inventory'!$AU$6:$AU$255)&lt;139,"",139)</f>
        <v/>
      </c>
      <c r="B143" s="47" t="str">
        <f aca="false">IF($A143="","",IFERROR(INDEX('ISV Inventory'!$V$6:$V$255,MATCH(SMALL('ISV Inventory'!$AU$6:$AU$255,$A143),'ISV Inventory'!$AU$6:$AU$255,0)),""))</f>
        <v/>
      </c>
      <c r="C143" s="48" t="str">
        <f aca="false">IF($A143="","",IFERROR(INDEX('ISV Inventory'!$AA$6:$AA$255,MATCH(SMALL('ISV Inventory'!$AU$6:$AU$255,$A143),'ISV Inventory'!$AU$6:$AU$255,0)),""))</f>
        <v/>
      </c>
      <c r="D143" s="13" t="str">
        <f aca="false">IF($A143="","",IFERROR(INDEX('ISV Inventory'!$AB$6:$AB$255,MATCH(SMALL('ISV Inventory'!$AU$6:$AU$255,$A143),'ISV Inventory'!$AU$6:$AU$255,0))&amp;"",""))</f>
        <v/>
      </c>
      <c r="E143" s="13" t="str">
        <f aca="false">IF($A143="","",IFERROR(INDEX('ISV Inventory'!$B$6:$B$255,MATCH(SMALL('ISV Inventory'!$AU$6:$AU$255,$A143),'ISV Inventory'!$AU$6:$AU$255,0))&amp;"",""))</f>
        <v/>
      </c>
      <c r="F143" s="13" t="str">
        <f aca="false">IF($A143="","",IFERROR(INDEX('ISV Inventory'!$F$6:$F$255,MATCH(SMALL('ISV Inventory'!$AU$6:$AU$255,$A143),'ISV Inventory'!$AU$6:$AU$255,0))&amp;"",""))</f>
        <v/>
      </c>
      <c r="G143" s="49" t="str">
        <f aca="false">IF($A143="","",IFERROR(INDEX('ISV Inventory'!$R$6:$R$255,MATCH(SMALL('ISV Inventory'!$AU$6:$AU$255,$A143),'ISV Inventory'!$AU$6:$AU$255,0)),""))</f>
        <v/>
      </c>
      <c r="H143" s="13" t="str">
        <f aca="false">IF($A143="","",IFERROR(INDEX('ISV Inventory'!$X$6:$X$255,MATCH(SMALL('ISV Inventory'!$AU$6:$AU$255,$A143),'ISV Inventory'!$AU$6:$AU$255,0))&amp;"",""))</f>
        <v/>
      </c>
      <c r="I143" s="47" t="str">
        <f aca="false">IF($A143="","",IFERROR(INDEX('ISV Inventory'!$Z$6:$Z$255,MATCH(SMALL('ISV Inventory'!$AU$6:$AU$255,$A143),'ISV Inventory'!$AU$6:$AU$255,0)),""))</f>
        <v/>
      </c>
      <c r="J143" s="13" t="str">
        <f aca="false">IF($A143="","",IFERROR(INDEX('ISV Inventory'!$AG$6:$AG$255,MATCH(SMALL('ISV Inventory'!$AU$6:$AU$255,$A143),'ISV Inventory'!$AU$6:$AU$255,0))&amp;"",""))</f>
        <v/>
      </c>
      <c r="K143" s="13" t="str">
        <f aca="false">IF($A143="","",IFERROR(INDEX('ISV Inventory'!$AK$6:$AK$255,MATCH(SMALL('ISV Inventory'!$AU$6:$AU$255,$A143),'ISV Inventory'!$AU$6:$AU$255,0))&amp;"",""))</f>
        <v/>
      </c>
      <c r="L143" s="13" t="str">
        <f aca="false">IF($A143="","",IFERROR(INDEX('ISV Inventory'!$AR$6:$AR$255,MATCH(SMALL('ISV Inventory'!$AU$6:$AU$255,$A143),'ISV Inventory'!$AU$6:$AU$255,0))&amp;"",""))</f>
        <v/>
      </c>
      <c r="M143" s="13" t="str">
        <f aca="false">IF($A143="","",IFERROR(INDEX('ISV Inventory'!$AS$6:$AS$255,MATCH(SMALL('ISV Inventory'!$AU$6:$AU$255,$A143),'ISV Inventory'!$AU$6:$AU$255,0))&amp;"",""))</f>
        <v/>
      </c>
    </row>
    <row r="144" customFormat="false" ht="15" hidden="false" customHeight="false" outlineLevel="0" collapsed="false">
      <c r="A144" s="13" t="str">
        <f aca="false">IF(COUNT('ISV Inventory'!$AU$6:$AU$255)&lt;140,"",140)</f>
        <v/>
      </c>
      <c r="B144" s="47" t="str">
        <f aca="false">IF($A144="","",IFERROR(INDEX('ISV Inventory'!$V$6:$V$255,MATCH(SMALL('ISV Inventory'!$AU$6:$AU$255,$A144),'ISV Inventory'!$AU$6:$AU$255,0)),""))</f>
        <v/>
      </c>
      <c r="C144" s="48" t="str">
        <f aca="false">IF($A144="","",IFERROR(INDEX('ISV Inventory'!$AA$6:$AA$255,MATCH(SMALL('ISV Inventory'!$AU$6:$AU$255,$A144),'ISV Inventory'!$AU$6:$AU$255,0)),""))</f>
        <v/>
      </c>
      <c r="D144" s="13" t="str">
        <f aca="false">IF($A144="","",IFERROR(INDEX('ISV Inventory'!$AB$6:$AB$255,MATCH(SMALL('ISV Inventory'!$AU$6:$AU$255,$A144),'ISV Inventory'!$AU$6:$AU$255,0))&amp;"",""))</f>
        <v/>
      </c>
      <c r="E144" s="13" t="str">
        <f aca="false">IF($A144="","",IFERROR(INDEX('ISV Inventory'!$B$6:$B$255,MATCH(SMALL('ISV Inventory'!$AU$6:$AU$255,$A144),'ISV Inventory'!$AU$6:$AU$255,0))&amp;"",""))</f>
        <v/>
      </c>
      <c r="F144" s="13" t="str">
        <f aca="false">IF($A144="","",IFERROR(INDEX('ISV Inventory'!$F$6:$F$255,MATCH(SMALL('ISV Inventory'!$AU$6:$AU$255,$A144),'ISV Inventory'!$AU$6:$AU$255,0))&amp;"",""))</f>
        <v/>
      </c>
      <c r="G144" s="49" t="str">
        <f aca="false">IF($A144="","",IFERROR(INDEX('ISV Inventory'!$R$6:$R$255,MATCH(SMALL('ISV Inventory'!$AU$6:$AU$255,$A144),'ISV Inventory'!$AU$6:$AU$255,0)),""))</f>
        <v/>
      </c>
      <c r="H144" s="13" t="str">
        <f aca="false">IF($A144="","",IFERROR(INDEX('ISV Inventory'!$X$6:$X$255,MATCH(SMALL('ISV Inventory'!$AU$6:$AU$255,$A144),'ISV Inventory'!$AU$6:$AU$255,0))&amp;"",""))</f>
        <v/>
      </c>
      <c r="I144" s="47" t="str">
        <f aca="false">IF($A144="","",IFERROR(INDEX('ISV Inventory'!$Z$6:$Z$255,MATCH(SMALL('ISV Inventory'!$AU$6:$AU$255,$A144),'ISV Inventory'!$AU$6:$AU$255,0)),""))</f>
        <v/>
      </c>
      <c r="J144" s="13" t="str">
        <f aca="false">IF($A144="","",IFERROR(INDEX('ISV Inventory'!$AG$6:$AG$255,MATCH(SMALL('ISV Inventory'!$AU$6:$AU$255,$A144),'ISV Inventory'!$AU$6:$AU$255,0))&amp;"",""))</f>
        <v/>
      </c>
      <c r="K144" s="13" t="str">
        <f aca="false">IF($A144="","",IFERROR(INDEX('ISV Inventory'!$AK$6:$AK$255,MATCH(SMALL('ISV Inventory'!$AU$6:$AU$255,$A144),'ISV Inventory'!$AU$6:$AU$255,0))&amp;"",""))</f>
        <v/>
      </c>
      <c r="L144" s="13" t="str">
        <f aca="false">IF($A144="","",IFERROR(INDEX('ISV Inventory'!$AR$6:$AR$255,MATCH(SMALL('ISV Inventory'!$AU$6:$AU$255,$A144),'ISV Inventory'!$AU$6:$AU$255,0))&amp;"",""))</f>
        <v/>
      </c>
      <c r="M144" s="13" t="str">
        <f aca="false">IF($A144="","",IFERROR(INDEX('ISV Inventory'!$AS$6:$AS$255,MATCH(SMALL('ISV Inventory'!$AU$6:$AU$255,$A144),'ISV Inventory'!$AU$6:$AU$255,0))&amp;"",""))</f>
        <v/>
      </c>
    </row>
    <row r="145" customFormat="false" ht="15" hidden="false" customHeight="false" outlineLevel="0" collapsed="false">
      <c r="A145" s="13" t="str">
        <f aca="false">IF(COUNT('ISV Inventory'!$AU$6:$AU$255)&lt;141,"",141)</f>
        <v/>
      </c>
      <c r="B145" s="47" t="str">
        <f aca="false">IF($A145="","",IFERROR(INDEX('ISV Inventory'!$V$6:$V$255,MATCH(SMALL('ISV Inventory'!$AU$6:$AU$255,$A145),'ISV Inventory'!$AU$6:$AU$255,0)),""))</f>
        <v/>
      </c>
      <c r="C145" s="48" t="str">
        <f aca="false">IF($A145="","",IFERROR(INDEX('ISV Inventory'!$AA$6:$AA$255,MATCH(SMALL('ISV Inventory'!$AU$6:$AU$255,$A145),'ISV Inventory'!$AU$6:$AU$255,0)),""))</f>
        <v/>
      </c>
      <c r="D145" s="13" t="str">
        <f aca="false">IF($A145="","",IFERROR(INDEX('ISV Inventory'!$AB$6:$AB$255,MATCH(SMALL('ISV Inventory'!$AU$6:$AU$255,$A145),'ISV Inventory'!$AU$6:$AU$255,0))&amp;"",""))</f>
        <v/>
      </c>
      <c r="E145" s="13" t="str">
        <f aca="false">IF($A145="","",IFERROR(INDEX('ISV Inventory'!$B$6:$B$255,MATCH(SMALL('ISV Inventory'!$AU$6:$AU$255,$A145),'ISV Inventory'!$AU$6:$AU$255,0))&amp;"",""))</f>
        <v/>
      </c>
      <c r="F145" s="13" t="str">
        <f aca="false">IF($A145="","",IFERROR(INDEX('ISV Inventory'!$F$6:$F$255,MATCH(SMALL('ISV Inventory'!$AU$6:$AU$255,$A145),'ISV Inventory'!$AU$6:$AU$255,0))&amp;"",""))</f>
        <v/>
      </c>
      <c r="G145" s="49" t="str">
        <f aca="false">IF($A145="","",IFERROR(INDEX('ISV Inventory'!$R$6:$R$255,MATCH(SMALL('ISV Inventory'!$AU$6:$AU$255,$A145),'ISV Inventory'!$AU$6:$AU$255,0)),""))</f>
        <v/>
      </c>
      <c r="H145" s="13" t="str">
        <f aca="false">IF($A145="","",IFERROR(INDEX('ISV Inventory'!$X$6:$X$255,MATCH(SMALL('ISV Inventory'!$AU$6:$AU$255,$A145),'ISV Inventory'!$AU$6:$AU$255,0))&amp;"",""))</f>
        <v/>
      </c>
      <c r="I145" s="47" t="str">
        <f aca="false">IF($A145="","",IFERROR(INDEX('ISV Inventory'!$Z$6:$Z$255,MATCH(SMALL('ISV Inventory'!$AU$6:$AU$255,$A145),'ISV Inventory'!$AU$6:$AU$255,0)),""))</f>
        <v/>
      </c>
      <c r="J145" s="13" t="str">
        <f aca="false">IF($A145="","",IFERROR(INDEX('ISV Inventory'!$AG$6:$AG$255,MATCH(SMALL('ISV Inventory'!$AU$6:$AU$255,$A145),'ISV Inventory'!$AU$6:$AU$255,0))&amp;"",""))</f>
        <v/>
      </c>
      <c r="K145" s="13" t="str">
        <f aca="false">IF($A145="","",IFERROR(INDEX('ISV Inventory'!$AK$6:$AK$255,MATCH(SMALL('ISV Inventory'!$AU$6:$AU$255,$A145),'ISV Inventory'!$AU$6:$AU$255,0))&amp;"",""))</f>
        <v/>
      </c>
      <c r="L145" s="13" t="str">
        <f aca="false">IF($A145="","",IFERROR(INDEX('ISV Inventory'!$AR$6:$AR$255,MATCH(SMALL('ISV Inventory'!$AU$6:$AU$255,$A145),'ISV Inventory'!$AU$6:$AU$255,0))&amp;"",""))</f>
        <v/>
      </c>
      <c r="M145" s="13" t="str">
        <f aca="false">IF($A145="","",IFERROR(INDEX('ISV Inventory'!$AS$6:$AS$255,MATCH(SMALL('ISV Inventory'!$AU$6:$AU$255,$A145),'ISV Inventory'!$AU$6:$AU$255,0))&amp;"",""))</f>
        <v/>
      </c>
    </row>
    <row r="146" customFormat="false" ht="15" hidden="false" customHeight="false" outlineLevel="0" collapsed="false">
      <c r="A146" s="13" t="str">
        <f aca="false">IF(COUNT('ISV Inventory'!$AU$6:$AU$255)&lt;142,"",142)</f>
        <v/>
      </c>
      <c r="B146" s="47" t="str">
        <f aca="false">IF($A146="","",IFERROR(INDEX('ISV Inventory'!$V$6:$V$255,MATCH(SMALL('ISV Inventory'!$AU$6:$AU$255,$A146),'ISV Inventory'!$AU$6:$AU$255,0)),""))</f>
        <v/>
      </c>
      <c r="C146" s="48" t="str">
        <f aca="false">IF($A146="","",IFERROR(INDEX('ISV Inventory'!$AA$6:$AA$255,MATCH(SMALL('ISV Inventory'!$AU$6:$AU$255,$A146),'ISV Inventory'!$AU$6:$AU$255,0)),""))</f>
        <v/>
      </c>
      <c r="D146" s="13" t="str">
        <f aca="false">IF($A146="","",IFERROR(INDEX('ISV Inventory'!$AB$6:$AB$255,MATCH(SMALL('ISV Inventory'!$AU$6:$AU$255,$A146),'ISV Inventory'!$AU$6:$AU$255,0))&amp;"",""))</f>
        <v/>
      </c>
      <c r="E146" s="13" t="str">
        <f aca="false">IF($A146="","",IFERROR(INDEX('ISV Inventory'!$B$6:$B$255,MATCH(SMALL('ISV Inventory'!$AU$6:$AU$255,$A146),'ISV Inventory'!$AU$6:$AU$255,0))&amp;"",""))</f>
        <v/>
      </c>
      <c r="F146" s="13" t="str">
        <f aca="false">IF($A146="","",IFERROR(INDEX('ISV Inventory'!$F$6:$F$255,MATCH(SMALL('ISV Inventory'!$AU$6:$AU$255,$A146),'ISV Inventory'!$AU$6:$AU$255,0))&amp;"",""))</f>
        <v/>
      </c>
      <c r="G146" s="49" t="str">
        <f aca="false">IF($A146="","",IFERROR(INDEX('ISV Inventory'!$R$6:$R$255,MATCH(SMALL('ISV Inventory'!$AU$6:$AU$255,$A146),'ISV Inventory'!$AU$6:$AU$255,0)),""))</f>
        <v/>
      </c>
      <c r="H146" s="13" t="str">
        <f aca="false">IF($A146="","",IFERROR(INDEX('ISV Inventory'!$X$6:$X$255,MATCH(SMALL('ISV Inventory'!$AU$6:$AU$255,$A146),'ISV Inventory'!$AU$6:$AU$255,0))&amp;"",""))</f>
        <v/>
      </c>
      <c r="I146" s="47" t="str">
        <f aca="false">IF($A146="","",IFERROR(INDEX('ISV Inventory'!$Z$6:$Z$255,MATCH(SMALL('ISV Inventory'!$AU$6:$AU$255,$A146),'ISV Inventory'!$AU$6:$AU$255,0)),""))</f>
        <v/>
      </c>
      <c r="J146" s="13" t="str">
        <f aca="false">IF($A146="","",IFERROR(INDEX('ISV Inventory'!$AG$6:$AG$255,MATCH(SMALL('ISV Inventory'!$AU$6:$AU$255,$A146),'ISV Inventory'!$AU$6:$AU$255,0))&amp;"",""))</f>
        <v/>
      </c>
      <c r="K146" s="13" t="str">
        <f aca="false">IF($A146="","",IFERROR(INDEX('ISV Inventory'!$AK$6:$AK$255,MATCH(SMALL('ISV Inventory'!$AU$6:$AU$255,$A146),'ISV Inventory'!$AU$6:$AU$255,0))&amp;"",""))</f>
        <v/>
      </c>
      <c r="L146" s="13" t="str">
        <f aca="false">IF($A146="","",IFERROR(INDEX('ISV Inventory'!$AR$6:$AR$255,MATCH(SMALL('ISV Inventory'!$AU$6:$AU$255,$A146),'ISV Inventory'!$AU$6:$AU$255,0))&amp;"",""))</f>
        <v/>
      </c>
      <c r="M146" s="13" t="str">
        <f aca="false">IF($A146="","",IFERROR(INDEX('ISV Inventory'!$AS$6:$AS$255,MATCH(SMALL('ISV Inventory'!$AU$6:$AU$255,$A146),'ISV Inventory'!$AU$6:$AU$255,0))&amp;"",""))</f>
        <v/>
      </c>
    </row>
    <row r="147" customFormat="false" ht="15" hidden="false" customHeight="false" outlineLevel="0" collapsed="false">
      <c r="A147" s="13" t="str">
        <f aca="false">IF(COUNT('ISV Inventory'!$AU$6:$AU$255)&lt;143,"",143)</f>
        <v/>
      </c>
      <c r="B147" s="47" t="str">
        <f aca="false">IF($A147="","",IFERROR(INDEX('ISV Inventory'!$V$6:$V$255,MATCH(SMALL('ISV Inventory'!$AU$6:$AU$255,$A147),'ISV Inventory'!$AU$6:$AU$255,0)),""))</f>
        <v/>
      </c>
      <c r="C147" s="48" t="str">
        <f aca="false">IF($A147="","",IFERROR(INDEX('ISV Inventory'!$AA$6:$AA$255,MATCH(SMALL('ISV Inventory'!$AU$6:$AU$255,$A147),'ISV Inventory'!$AU$6:$AU$255,0)),""))</f>
        <v/>
      </c>
      <c r="D147" s="13" t="str">
        <f aca="false">IF($A147="","",IFERROR(INDEX('ISV Inventory'!$AB$6:$AB$255,MATCH(SMALL('ISV Inventory'!$AU$6:$AU$255,$A147),'ISV Inventory'!$AU$6:$AU$255,0))&amp;"",""))</f>
        <v/>
      </c>
      <c r="E147" s="13" t="str">
        <f aca="false">IF($A147="","",IFERROR(INDEX('ISV Inventory'!$B$6:$B$255,MATCH(SMALL('ISV Inventory'!$AU$6:$AU$255,$A147),'ISV Inventory'!$AU$6:$AU$255,0))&amp;"",""))</f>
        <v/>
      </c>
      <c r="F147" s="13" t="str">
        <f aca="false">IF($A147="","",IFERROR(INDEX('ISV Inventory'!$F$6:$F$255,MATCH(SMALL('ISV Inventory'!$AU$6:$AU$255,$A147),'ISV Inventory'!$AU$6:$AU$255,0))&amp;"",""))</f>
        <v/>
      </c>
      <c r="G147" s="49" t="str">
        <f aca="false">IF($A147="","",IFERROR(INDEX('ISV Inventory'!$R$6:$R$255,MATCH(SMALL('ISV Inventory'!$AU$6:$AU$255,$A147),'ISV Inventory'!$AU$6:$AU$255,0)),""))</f>
        <v/>
      </c>
      <c r="H147" s="13" t="str">
        <f aca="false">IF($A147="","",IFERROR(INDEX('ISV Inventory'!$X$6:$X$255,MATCH(SMALL('ISV Inventory'!$AU$6:$AU$255,$A147),'ISV Inventory'!$AU$6:$AU$255,0))&amp;"",""))</f>
        <v/>
      </c>
      <c r="I147" s="47" t="str">
        <f aca="false">IF($A147="","",IFERROR(INDEX('ISV Inventory'!$Z$6:$Z$255,MATCH(SMALL('ISV Inventory'!$AU$6:$AU$255,$A147),'ISV Inventory'!$AU$6:$AU$255,0)),""))</f>
        <v/>
      </c>
      <c r="J147" s="13" t="str">
        <f aca="false">IF($A147="","",IFERROR(INDEX('ISV Inventory'!$AG$6:$AG$255,MATCH(SMALL('ISV Inventory'!$AU$6:$AU$255,$A147),'ISV Inventory'!$AU$6:$AU$255,0))&amp;"",""))</f>
        <v/>
      </c>
      <c r="K147" s="13" t="str">
        <f aca="false">IF($A147="","",IFERROR(INDEX('ISV Inventory'!$AK$6:$AK$255,MATCH(SMALL('ISV Inventory'!$AU$6:$AU$255,$A147),'ISV Inventory'!$AU$6:$AU$255,0))&amp;"",""))</f>
        <v/>
      </c>
      <c r="L147" s="13" t="str">
        <f aca="false">IF($A147="","",IFERROR(INDEX('ISV Inventory'!$AR$6:$AR$255,MATCH(SMALL('ISV Inventory'!$AU$6:$AU$255,$A147),'ISV Inventory'!$AU$6:$AU$255,0))&amp;"",""))</f>
        <v/>
      </c>
      <c r="M147" s="13" t="str">
        <f aca="false">IF($A147="","",IFERROR(INDEX('ISV Inventory'!$AS$6:$AS$255,MATCH(SMALL('ISV Inventory'!$AU$6:$AU$255,$A147),'ISV Inventory'!$AU$6:$AU$255,0))&amp;"",""))</f>
        <v/>
      </c>
    </row>
    <row r="148" customFormat="false" ht="15" hidden="false" customHeight="false" outlineLevel="0" collapsed="false">
      <c r="A148" s="13" t="str">
        <f aca="false">IF(COUNT('ISV Inventory'!$AU$6:$AU$255)&lt;144,"",144)</f>
        <v/>
      </c>
      <c r="B148" s="47" t="str">
        <f aca="false">IF($A148="","",IFERROR(INDEX('ISV Inventory'!$V$6:$V$255,MATCH(SMALL('ISV Inventory'!$AU$6:$AU$255,$A148),'ISV Inventory'!$AU$6:$AU$255,0)),""))</f>
        <v/>
      </c>
      <c r="C148" s="48" t="str">
        <f aca="false">IF($A148="","",IFERROR(INDEX('ISV Inventory'!$AA$6:$AA$255,MATCH(SMALL('ISV Inventory'!$AU$6:$AU$255,$A148),'ISV Inventory'!$AU$6:$AU$255,0)),""))</f>
        <v/>
      </c>
      <c r="D148" s="13" t="str">
        <f aca="false">IF($A148="","",IFERROR(INDEX('ISV Inventory'!$AB$6:$AB$255,MATCH(SMALL('ISV Inventory'!$AU$6:$AU$255,$A148),'ISV Inventory'!$AU$6:$AU$255,0))&amp;"",""))</f>
        <v/>
      </c>
      <c r="E148" s="13" t="str">
        <f aca="false">IF($A148="","",IFERROR(INDEX('ISV Inventory'!$B$6:$B$255,MATCH(SMALL('ISV Inventory'!$AU$6:$AU$255,$A148),'ISV Inventory'!$AU$6:$AU$255,0))&amp;"",""))</f>
        <v/>
      </c>
      <c r="F148" s="13" t="str">
        <f aca="false">IF($A148="","",IFERROR(INDEX('ISV Inventory'!$F$6:$F$255,MATCH(SMALL('ISV Inventory'!$AU$6:$AU$255,$A148),'ISV Inventory'!$AU$6:$AU$255,0))&amp;"",""))</f>
        <v/>
      </c>
      <c r="G148" s="49" t="str">
        <f aca="false">IF($A148="","",IFERROR(INDEX('ISV Inventory'!$R$6:$R$255,MATCH(SMALL('ISV Inventory'!$AU$6:$AU$255,$A148),'ISV Inventory'!$AU$6:$AU$255,0)),""))</f>
        <v/>
      </c>
      <c r="H148" s="13" t="str">
        <f aca="false">IF($A148="","",IFERROR(INDEX('ISV Inventory'!$X$6:$X$255,MATCH(SMALL('ISV Inventory'!$AU$6:$AU$255,$A148),'ISV Inventory'!$AU$6:$AU$255,0))&amp;"",""))</f>
        <v/>
      </c>
      <c r="I148" s="47" t="str">
        <f aca="false">IF($A148="","",IFERROR(INDEX('ISV Inventory'!$Z$6:$Z$255,MATCH(SMALL('ISV Inventory'!$AU$6:$AU$255,$A148),'ISV Inventory'!$AU$6:$AU$255,0)),""))</f>
        <v/>
      </c>
      <c r="J148" s="13" t="str">
        <f aca="false">IF($A148="","",IFERROR(INDEX('ISV Inventory'!$AG$6:$AG$255,MATCH(SMALL('ISV Inventory'!$AU$6:$AU$255,$A148),'ISV Inventory'!$AU$6:$AU$255,0))&amp;"",""))</f>
        <v/>
      </c>
      <c r="K148" s="13" t="str">
        <f aca="false">IF($A148="","",IFERROR(INDEX('ISV Inventory'!$AK$6:$AK$255,MATCH(SMALL('ISV Inventory'!$AU$6:$AU$255,$A148),'ISV Inventory'!$AU$6:$AU$255,0))&amp;"",""))</f>
        <v/>
      </c>
      <c r="L148" s="13" t="str">
        <f aca="false">IF($A148="","",IFERROR(INDEX('ISV Inventory'!$AR$6:$AR$255,MATCH(SMALL('ISV Inventory'!$AU$6:$AU$255,$A148),'ISV Inventory'!$AU$6:$AU$255,0))&amp;"",""))</f>
        <v/>
      </c>
      <c r="M148" s="13" t="str">
        <f aca="false">IF($A148="","",IFERROR(INDEX('ISV Inventory'!$AS$6:$AS$255,MATCH(SMALL('ISV Inventory'!$AU$6:$AU$255,$A148),'ISV Inventory'!$AU$6:$AU$255,0))&amp;"",""))</f>
        <v/>
      </c>
    </row>
    <row r="149" customFormat="false" ht="15" hidden="false" customHeight="false" outlineLevel="0" collapsed="false">
      <c r="A149" s="13" t="str">
        <f aca="false">IF(COUNT('ISV Inventory'!$AU$6:$AU$255)&lt;145,"",145)</f>
        <v/>
      </c>
      <c r="B149" s="47" t="str">
        <f aca="false">IF($A149="","",IFERROR(INDEX('ISV Inventory'!$V$6:$V$255,MATCH(SMALL('ISV Inventory'!$AU$6:$AU$255,$A149),'ISV Inventory'!$AU$6:$AU$255,0)),""))</f>
        <v/>
      </c>
      <c r="C149" s="48" t="str">
        <f aca="false">IF($A149="","",IFERROR(INDEX('ISV Inventory'!$AA$6:$AA$255,MATCH(SMALL('ISV Inventory'!$AU$6:$AU$255,$A149),'ISV Inventory'!$AU$6:$AU$255,0)),""))</f>
        <v/>
      </c>
      <c r="D149" s="13" t="str">
        <f aca="false">IF($A149="","",IFERROR(INDEX('ISV Inventory'!$AB$6:$AB$255,MATCH(SMALL('ISV Inventory'!$AU$6:$AU$255,$A149),'ISV Inventory'!$AU$6:$AU$255,0))&amp;"",""))</f>
        <v/>
      </c>
      <c r="E149" s="13" t="str">
        <f aca="false">IF($A149="","",IFERROR(INDEX('ISV Inventory'!$B$6:$B$255,MATCH(SMALL('ISV Inventory'!$AU$6:$AU$255,$A149),'ISV Inventory'!$AU$6:$AU$255,0))&amp;"",""))</f>
        <v/>
      </c>
      <c r="F149" s="13" t="str">
        <f aca="false">IF($A149="","",IFERROR(INDEX('ISV Inventory'!$F$6:$F$255,MATCH(SMALL('ISV Inventory'!$AU$6:$AU$255,$A149),'ISV Inventory'!$AU$6:$AU$255,0))&amp;"",""))</f>
        <v/>
      </c>
      <c r="G149" s="49" t="str">
        <f aca="false">IF($A149="","",IFERROR(INDEX('ISV Inventory'!$R$6:$R$255,MATCH(SMALL('ISV Inventory'!$AU$6:$AU$255,$A149),'ISV Inventory'!$AU$6:$AU$255,0)),""))</f>
        <v/>
      </c>
      <c r="H149" s="13" t="str">
        <f aca="false">IF($A149="","",IFERROR(INDEX('ISV Inventory'!$X$6:$X$255,MATCH(SMALL('ISV Inventory'!$AU$6:$AU$255,$A149),'ISV Inventory'!$AU$6:$AU$255,0))&amp;"",""))</f>
        <v/>
      </c>
      <c r="I149" s="47" t="str">
        <f aca="false">IF($A149="","",IFERROR(INDEX('ISV Inventory'!$Z$6:$Z$255,MATCH(SMALL('ISV Inventory'!$AU$6:$AU$255,$A149),'ISV Inventory'!$AU$6:$AU$255,0)),""))</f>
        <v/>
      </c>
      <c r="J149" s="13" t="str">
        <f aca="false">IF($A149="","",IFERROR(INDEX('ISV Inventory'!$AG$6:$AG$255,MATCH(SMALL('ISV Inventory'!$AU$6:$AU$255,$A149),'ISV Inventory'!$AU$6:$AU$255,0))&amp;"",""))</f>
        <v/>
      </c>
      <c r="K149" s="13" t="str">
        <f aca="false">IF($A149="","",IFERROR(INDEX('ISV Inventory'!$AK$6:$AK$255,MATCH(SMALL('ISV Inventory'!$AU$6:$AU$255,$A149),'ISV Inventory'!$AU$6:$AU$255,0))&amp;"",""))</f>
        <v/>
      </c>
      <c r="L149" s="13" t="str">
        <f aca="false">IF($A149="","",IFERROR(INDEX('ISV Inventory'!$AR$6:$AR$255,MATCH(SMALL('ISV Inventory'!$AU$6:$AU$255,$A149),'ISV Inventory'!$AU$6:$AU$255,0))&amp;"",""))</f>
        <v/>
      </c>
      <c r="M149" s="13" t="str">
        <f aca="false">IF($A149="","",IFERROR(INDEX('ISV Inventory'!$AS$6:$AS$255,MATCH(SMALL('ISV Inventory'!$AU$6:$AU$255,$A149),'ISV Inventory'!$AU$6:$AU$255,0))&amp;"",""))</f>
        <v/>
      </c>
    </row>
    <row r="150" customFormat="false" ht="15" hidden="false" customHeight="false" outlineLevel="0" collapsed="false">
      <c r="A150" s="13" t="str">
        <f aca="false">IF(COUNT('ISV Inventory'!$AU$6:$AU$255)&lt;146,"",146)</f>
        <v/>
      </c>
      <c r="B150" s="47" t="str">
        <f aca="false">IF($A150="","",IFERROR(INDEX('ISV Inventory'!$V$6:$V$255,MATCH(SMALL('ISV Inventory'!$AU$6:$AU$255,$A150),'ISV Inventory'!$AU$6:$AU$255,0)),""))</f>
        <v/>
      </c>
      <c r="C150" s="48" t="str">
        <f aca="false">IF($A150="","",IFERROR(INDEX('ISV Inventory'!$AA$6:$AA$255,MATCH(SMALL('ISV Inventory'!$AU$6:$AU$255,$A150),'ISV Inventory'!$AU$6:$AU$255,0)),""))</f>
        <v/>
      </c>
      <c r="D150" s="13" t="str">
        <f aca="false">IF($A150="","",IFERROR(INDEX('ISV Inventory'!$AB$6:$AB$255,MATCH(SMALL('ISV Inventory'!$AU$6:$AU$255,$A150),'ISV Inventory'!$AU$6:$AU$255,0))&amp;"",""))</f>
        <v/>
      </c>
      <c r="E150" s="13" t="str">
        <f aca="false">IF($A150="","",IFERROR(INDEX('ISV Inventory'!$B$6:$B$255,MATCH(SMALL('ISV Inventory'!$AU$6:$AU$255,$A150),'ISV Inventory'!$AU$6:$AU$255,0))&amp;"",""))</f>
        <v/>
      </c>
      <c r="F150" s="13" t="str">
        <f aca="false">IF($A150="","",IFERROR(INDEX('ISV Inventory'!$F$6:$F$255,MATCH(SMALL('ISV Inventory'!$AU$6:$AU$255,$A150),'ISV Inventory'!$AU$6:$AU$255,0))&amp;"",""))</f>
        <v/>
      </c>
      <c r="G150" s="49" t="str">
        <f aca="false">IF($A150="","",IFERROR(INDEX('ISV Inventory'!$R$6:$R$255,MATCH(SMALL('ISV Inventory'!$AU$6:$AU$255,$A150),'ISV Inventory'!$AU$6:$AU$255,0)),""))</f>
        <v/>
      </c>
      <c r="H150" s="13" t="str">
        <f aca="false">IF($A150="","",IFERROR(INDEX('ISV Inventory'!$X$6:$X$255,MATCH(SMALL('ISV Inventory'!$AU$6:$AU$255,$A150),'ISV Inventory'!$AU$6:$AU$255,0))&amp;"",""))</f>
        <v/>
      </c>
      <c r="I150" s="47" t="str">
        <f aca="false">IF($A150="","",IFERROR(INDEX('ISV Inventory'!$Z$6:$Z$255,MATCH(SMALL('ISV Inventory'!$AU$6:$AU$255,$A150),'ISV Inventory'!$AU$6:$AU$255,0)),""))</f>
        <v/>
      </c>
      <c r="J150" s="13" t="str">
        <f aca="false">IF($A150="","",IFERROR(INDEX('ISV Inventory'!$AG$6:$AG$255,MATCH(SMALL('ISV Inventory'!$AU$6:$AU$255,$A150),'ISV Inventory'!$AU$6:$AU$255,0))&amp;"",""))</f>
        <v/>
      </c>
      <c r="K150" s="13" t="str">
        <f aca="false">IF($A150="","",IFERROR(INDEX('ISV Inventory'!$AK$6:$AK$255,MATCH(SMALL('ISV Inventory'!$AU$6:$AU$255,$A150),'ISV Inventory'!$AU$6:$AU$255,0))&amp;"",""))</f>
        <v/>
      </c>
      <c r="L150" s="13" t="str">
        <f aca="false">IF($A150="","",IFERROR(INDEX('ISV Inventory'!$AR$6:$AR$255,MATCH(SMALL('ISV Inventory'!$AU$6:$AU$255,$A150),'ISV Inventory'!$AU$6:$AU$255,0))&amp;"",""))</f>
        <v/>
      </c>
      <c r="M150" s="13" t="str">
        <f aca="false">IF($A150="","",IFERROR(INDEX('ISV Inventory'!$AS$6:$AS$255,MATCH(SMALL('ISV Inventory'!$AU$6:$AU$255,$A150),'ISV Inventory'!$AU$6:$AU$255,0))&amp;"",""))</f>
        <v/>
      </c>
    </row>
    <row r="151" customFormat="false" ht="15" hidden="false" customHeight="false" outlineLevel="0" collapsed="false">
      <c r="A151" s="13" t="str">
        <f aca="false">IF(COUNT('ISV Inventory'!$AU$6:$AU$255)&lt;147,"",147)</f>
        <v/>
      </c>
      <c r="B151" s="47" t="str">
        <f aca="false">IF($A151="","",IFERROR(INDEX('ISV Inventory'!$V$6:$V$255,MATCH(SMALL('ISV Inventory'!$AU$6:$AU$255,$A151),'ISV Inventory'!$AU$6:$AU$255,0)),""))</f>
        <v/>
      </c>
      <c r="C151" s="48" t="str">
        <f aca="false">IF($A151="","",IFERROR(INDEX('ISV Inventory'!$AA$6:$AA$255,MATCH(SMALL('ISV Inventory'!$AU$6:$AU$255,$A151),'ISV Inventory'!$AU$6:$AU$255,0)),""))</f>
        <v/>
      </c>
      <c r="D151" s="13" t="str">
        <f aca="false">IF($A151="","",IFERROR(INDEX('ISV Inventory'!$AB$6:$AB$255,MATCH(SMALL('ISV Inventory'!$AU$6:$AU$255,$A151),'ISV Inventory'!$AU$6:$AU$255,0))&amp;"",""))</f>
        <v/>
      </c>
      <c r="E151" s="13" t="str">
        <f aca="false">IF($A151="","",IFERROR(INDEX('ISV Inventory'!$B$6:$B$255,MATCH(SMALL('ISV Inventory'!$AU$6:$AU$255,$A151),'ISV Inventory'!$AU$6:$AU$255,0))&amp;"",""))</f>
        <v/>
      </c>
      <c r="F151" s="13" t="str">
        <f aca="false">IF($A151="","",IFERROR(INDEX('ISV Inventory'!$F$6:$F$255,MATCH(SMALL('ISV Inventory'!$AU$6:$AU$255,$A151),'ISV Inventory'!$AU$6:$AU$255,0))&amp;"",""))</f>
        <v/>
      </c>
      <c r="G151" s="49" t="str">
        <f aca="false">IF($A151="","",IFERROR(INDEX('ISV Inventory'!$R$6:$R$255,MATCH(SMALL('ISV Inventory'!$AU$6:$AU$255,$A151),'ISV Inventory'!$AU$6:$AU$255,0)),""))</f>
        <v/>
      </c>
      <c r="H151" s="13" t="str">
        <f aca="false">IF($A151="","",IFERROR(INDEX('ISV Inventory'!$X$6:$X$255,MATCH(SMALL('ISV Inventory'!$AU$6:$AU$255,$A151),'ISV Inventory'!$AU$6:$AU$255,0))&amp;"",""))</f>
        <v/>
      </c>
      <c r="I151" s="47" t="str">
        <f aca="false">IF($A151="","",IFERROR(INDEX('ISV Inventory'!$Z$6:$Z$255,MATCH(SMALL('ISV Inventory'!$AU$6:$AU$255,$A151),'ISV Inventory'!$AU$6:$AU$255,0)),""))</f>
        <v/>
      </c>
      <c r="J151" s="13" t="str">
        <f aca="false">IF($A151="","",IFERROR(INDEX('ISV Inventory'!$AG$6:$AG$255,MATCH(SMALL('ISV Inventory'!$AU$6:$AU$255,$A151),'ISV Inventory'!$AU$6:$AU$255,0))&amp;"",""))</f>
        <v/>
      </c>
      <c r="K151" s="13" t="str">
        <f aca="false">IF($A151="","",IFERROR(INDEX('ISV Inventory'!$AK$6:$AK$255,MATCH(SMALL('ISV Inventory'!$AU$6:$AU$255,$A151),'ISV Inventory'!$AU$6:$AU$255,0))&amp;"",""))</f>
        <v/>
      </c>
      <c r="L151" s="13" t="str">
        <f aca="false">IF($A151="","",IFERROR(INDEX('ISV Inventory'!$AR$6:$AR$255,MATCH(SMALL('ISV Inventory'!$AU$6:$AU$255,$A151),'ISV Inventory'!$AU$6:$AU$255,0))&amp;"",""))</f>
        <v/>
      </c>
      <c r="M151" s="13" t="str">
        <f aca="false">IF($A151="","",IFERROR(INDEX('ISV Inventory'!$AS$6:$AS$255,MATCH(SMALL('ISV Inventory'!$AU$6:$AU$255,$A151),'ISV Inventory'!$AU$6:$AU$255,0))&amp;"",""))</f>
        <v/>
      </c>
    </row>
    <row r="152" customFormat="false" ht="15" hidden="false" customHeight="false" outlineLevel="0" collapsed="false">
      <c r="A152" s="13" t="str">
        <f aca="false">IF(COUNT('ISV Inventory'!$AU$6:$AU$255)&lt;148,"",148)</f>
        <v/>
      </c>
      <c r="B152" s="47" t="str">
        <f aca="false">IF($A152="","",IFERROR(INDEX('ISV Inventory'!$V$6:$V$255,MATCH(SMALL('ISV Inventory'!$AU$6:$AU$255,$A152),'ISV Inventory'!$AU$6:$AU$255,0)),""))</f>
        <v/>
      </c>
      <c r="C152" s="48" t="str">
        <f aca="false">IF($A152="","",IFERROR(INDEX('ISV Inventory'!$AA$6:$AA$255,MATCH(SMALL('ISV Inventory'!$AU$6:$AU$255,$A152),'ISV Inventory'!$AU$6:$AU$255,0)),""))</f>
        <v/>
      </c>
      <c r="D152" s="13" t="str">
        <f aca="false">IF($A152="","",IFERROR(INDEX('ISV Inventory'!$AB$6:$AB$255,MATCH(SMALL('ISV Inventory'!$AU$6:$AU$255,$A152),'ISV Inventory'!$AU$6:$AU$255,0))&amp;"",""))</f>
        <v/>
      </c>
      <c r="E152" s="13" t="str">
        <f aca="false">IF($A152="","",IFERROR(INDEX('ISV Inventory'!$B$6:$B$255,MATCH(SMALL('ISV Inventory'!$AU$6:$AU$255,$A152),'ISV Inventory'!$AU$6:$AU$255,0))&amp;"",""))</f>
        <v/>
      </c>
      <c r="F152" s="13" t="str">
        <f aca="false">IF($A152="","",IFERROR(INDEX('ISV Inventory'!$F$6:$F$255,MATCH(SMALL('ISV Inventory'!$AU$6:$AU$255,$A152),'ISV Inventory'!$AU$6:$AU$255,0))&amp;"",""))</f>
        <v/>
      </c>
      <c r="G152" s="49" t="str">
        <f aca="false">IF($A152="","",IFERROR(INDEX('ISV Inventory'!$R$6:$R$255,MATCH(SMALL('ISV Inventory'!$AU$6:$AU$255,$A152),'ISV Inventory'!$AU$6:$AU$255,0)),""))</f>
        <v/>
      </c>
      <c r="H152" s="13" t="str">
        <f aca="false">IF($A152="","",IFERROR(INDEX('ISV Inventory'!$X$6:$X$255,MATCH(SMALL('ISV Inventory'!$AU$6:$AU$255,$A152),'ISV Inventory'!$AU$6:$AU$255,0))&amp;"",""))</f>
        <v/>
      </c>
      <c r="I152" s="47" t="str">
        <f aca="false">IF($A152="","",IFERROR(INDEX('ISV Inventory'!$Z$6:$Z$255,MATCH(SMALL('ISV Inventory'!$AU$6:$AU$255,$A152),'ISV Inventory'!$AU$6:$AU$255,0)),""))</f>
        <v/>
      </c>
      <c r="J152" s="13" t="str">
        <f aca="false">IF($A152="","",IFERROR(INDEX('ISV Inventory'!$AG$6:$AG$255,MATCH(SMALL('ISV Inventory'!$AU$6:$AU$255,$A152),'ISV Inventory'!$AU$6:$AU$255,0))&amp;"",""))</f>
        <v/>
      </c>
      <c r="K152" s="13" t="str">
        <f aca="false">IF($A152="","",IFERROR(INDEX('ISV Inventory'!$AK$6:$AK$255,MATCH(SMALL('ISV Inventory'!$AU$6:$AU$255,$A152),'ISV Inventory'!$AU$6:$AU$255,0))&amp;"",""))</f>
        <v/>
      </c>
      <c r="L152" s="13" t="str">
        <f aca="false">IF($A152="","",IFERROR(INDEX('ISV Inventory'!$AR$6:$AR$255,MATCH(SMALL('ISV Inventory'!$AU$6:$AU$255,$A152),'ISV Inventory'!$AU$6:$AU$255,0))&amp;"",""))</f>
        <v/>
      </c>
      <c r="M152" s="13" t="str">
        <f aca="false">IF($A152="","",IFERROR(INDEX('ISV Inventory'!$AS$6:$AS$255,MATCH(SMALL('ISV Inventory'!$AU$6:$AU$255,$A152),'ISV Inventory'!$AU$6:$AU$255,0))&amp;"",""))</f>
        <v/>
      </c>
    </row>
    <row r="153" customFormat="false" ht="15" hidden="false" customHeight="false" outlineLevel="0" collapsed="false">
      <c r="A153" s="13" t="str">
        <f aca="false">IF(COUNT('ISV Inventory'!$AU$6:$AU$255)&lt;149,"",149)</f>
        <v/>
      </c>
      <c r="B153" s="47" t="str">
        <f aca="false">IF($A153="","",IFERROR(INDEX('ISV Inventory'!$V$6:$V$255,MATCH(SMALL('ISV Inventory'!$AU$6:$AU$255,$A153),'ISV Inventory'!$AU$6:$AU$255,0)),""))</f>
        <v/>
      </c>
      <c r="C153" s="48" t="str">
        <f aca="false">IF($A153="","",IFERROR(INDEX('ISV Inventory'!$AA$6:$AA$255,MATCH(SMALL('ISV Inventory'!$AU$6:$AU$255,$A153),'ISV Inventory'!$AU$6:$AU$255,0)),""))</f>
        <v/>
      </c>
      <c r="D153" s="13" t="str">
        <f aca="false">IF($A153="","",IFERROR(INDEX('ISV Inventory'!$AB$6:$AB$255,MATCH(SMALL('ISV Inventory'!$AU$6:$AU$255,$A153),'ISV Inventory'!$AU$6:$AU$255,0))&amp;"",""))</f>
        <v/>
      </c>
      <c r="E153" s="13" t="str">
        <f aca="false">IF($A153="","",IFERROR(INDEX('ISV Inventory'!$B$6:$B$255,MATCH(SMALL('ISV Inventory'!$AU$6:$AU$255,$A153),'ISV Inventory'!$AU$6:$AU$255,0))&amp;"",""))</f>
        <v/>
      </c>
      <c r="F153" s="13" t="str">
        <f aca="false">IF($A153="","",IFERROR(INDEX('ISV Inventory'!$F$6:$F$255,MATCH(SMALL('ISV Inventory'!$AU$6:$AU$255,$A153),'ISV Inventory'!$AU$6:$AU$255,0))&amp;"",""))</f>
        <v/>
      </c>
      <c r="G153" s="49" t="str">
        <f aca="false">IF($A153="","",IFERROR(INDEX('ISV Inventory'!$R$6:$R$255,MATCH(SMALL('ISV Inventory'!$AU$6:$AU$255,$A153),'ISV Inventory'!$AU$6:$AU$255,0)),""))</f>
        <v/>
      </c>
      <c r="H153" s="13" t="str">
        <f aca="false">IF($A153="","",IFERROR(INDEX('ISV Inventory'!$X$6:$X$255,MATCH(SMALL('ISV Inventory'!$AU$6:$AU$255,$A153),'ISV Inventory'!$AU$6:$AU$255,0))&amp;"",""))</f>
        <v/>
      </c>
      <c r="I153" s="47" t="str">
        <f aca="false">IF($A153="","",IFERROR(INDEX('ISV Inventory'!$Z$6:$Z$255,MATCH(SMALL('ISV Inventory'!$AU$6:$AU$255,$A153),'ISV Inventory'!$AU$6:$AU$255,0)),""))</f>
        <v/>
      </c>
      <c r="J153" s="13" t="str">
        <f aca="false">IF($A153="","",IFERROR(INDEX('ISV Inventory'!$AG$6:$AG$255,MATCH(SMALL('ISV Inventory'!$AU$6:$AU$255,$A153),'ISV Inventory'!$AU$6:$AU$255,0))&amp;"",""))</f>
        <v/>
      </c>
      <c r="K153" s="13" t="str">
        <f aca="false">IF($A153="","",IFERROR(INDEX('ISV Inventory'!$AK$6:$AK$255,MATCH(SMALL('ISV Inventory'!$AU$6:$AU$255,$A153),'ISV Inventory'!$AU$6:$AU$255,0))&amp;"",""))</f>
        <v/>
      </c>
      <c r="L153" s="13" t="str">
        <f aca="false">IF($A153="","",IFERROR(INDEX('ISV Inventory'!$AR$6:$AR$255,MATCH(SMALL('ISV Inventory'!$AU$6:$AU$255,$A153),'ISV Inventory'!$AU$6:$AU$255,0))&amp;"",""))</f>
        <v/>
      </c>
      <c r="M153" s="13" t="str">
        <f aca="false">IF($A153="","",IFERROR(INDEX('ISV Inventory'!$AS$6:$AS$255,MATCH(SMALL('ISV Inventory'!$AU$6:$AU$255,$A153),'ISV Inventory'!$AU$6:$AU$255,0))&amp;"",""))</f>
        <v/>
      </c>
    </row>
    <row r="154" customFormat="false" ht="15" hidden="false" customHeight="false" outlineLevel="0" collapsed="false">
      <c r="A154" s="13" t="str">
        <f aca="false">IF(COUNT('ISV Inventory'!$AU$6:$AU$255)&lt;150,"",150)</f>
        <v/>
      </c>
      <c r="B154" s="47" t="str">
        <f aca="false">IF($A154="","",IFERROR(INDEX('ISV Inventory'!$V$6:$V$255,MATCH(SMALL('ISV Inventory'!$AU$6:$AU$255,$A154),'ISV Inventory'!$AU$6:$AU$255,0)),""))</f>
        <v/>
      </c>
      <c r="C154" s="48" t="str">
        <f aca="false">IF($A154="","",IFERROR(INDEX('ISV Inventory'!$AA$6:$AA$255,MATCH(SMALL('ISV Inventory'!$AU$6:$AU$255,$A154),'ISV Inventory'!$AU$6:$AU$255,0)),""))</f>
        <v/>
      </c>
      <c r="D154" s="13" t="str">
        <f aca="false">IF($A154="","",IFERROR(INDEX('ISV Inventory'!$AB$6:$AB$255,MATCH(SMALL('ISV Inventory'!$AU$6:$AU$255,$A154),'ISV Inventory'!$AU$6:$AU$255,0))&amp;"",""))</f>
        <v/>
      </c>
      <c r="E154" s="13" t="str">
        <f aca="false">IF($A154="","",IFERROR(INDEX('ISV Inventory'!$B$6:$B$255,MATCH(SMALL('ISV Inventory'!$AU$6:$AU$255,$A154),'ISV Inventory'!$AU$6:$AU$255,0))&amp;"",""))</f>
        <v/>
      </c>
      <c r="F154" s="13" t="str">
        <f aca="false">IF($A154="","",IFERROR(INDEX('ISV Inventory'!$F$6:$F$255,MATCH(SMALL('ISV Inventory'!$AU$6:$AU$255,$A154),'ISV Inventory'!$AU$6:$AU$255,0))&amp;"",""))</f>
        <v/>
      </c>
      <c r="G154" s="49" t="str">
        <f aca="false">IF($A154="","",IFERROR(INDEX('ISV Inventory'!$R$6:$R$255,MATCH(SMALL('ISV Inventory'!$AU$6:$AU$255,$A154),'ISV Inventory'!$AU$6:$AU$255,0)),""))</f>
        <v/>
      </c>
      <c r="H154" s="13" t="str">
        <f aca="false">IF($A154="","",IFERROR(INDEX('ISV Inventory'!$X$6:$X$255,MATCH(SMALL('ISV Inventory'!$AU$6:$AU$255,$A154),'ISV Inventory'!$AU$6:$AU$255,0))&amp;"",""))</f>
        <v/>
      </c>
      <c r="I154" s="47" t="str">
        <f aca="false">IF($A154="","",IFERROR(INDEX('ISV Inventory'!$Z$6:$Z$255,MATCH(SMALL('ISV Inventory'!$AU$6:$AU$255,$A154),'ISV Inventory'!$AU$6:$AU$255,0)),""))</f>
        <v/>
      </c>
      <c r="J154" s="13" t="str">
        <f aca="false">IF($A154="","",IFERROR(INDEX('ISV Inventory'!$AG$6:$AG$255,MATCH(SMALL('ISV Inventory'!$AU$6:$AU$255,$A154),'ISV Inventory'!$AU$6:$AU$255,0))&amp;"",""))</f>
        <v/>
      </c>
      <c r="K154" s="13" t="str">
        <f aca="false">IF($A154="","",IFERROR(INDEX('ISV Inventory'!$AK$6:$AK$255,MATCH(SMALL('ISV Inventory'!$AU$6:$AU$255,$A154),'ISV Inventory'!$AU$6:$AU$255,0))&amp;"",""))</f>
        <v/>
      </c>
      <c r="L154" s="13" t="str">
        <f aca="false">IF($A154="","",IFERROR(INDEX('ISV Inventory'!$AR$6:$AR$255,MATCH(SMALL('ISV Inventory'!$AU$6:$AU$255,$A154),'ISV Inventory'!$AU$6:$AU$255,0))&amp;"",""))</f>
        <v/>
      </c>
      <c r="M154" s="13" t="str">
        <f aca="false">IF($A154="","",IFERROR(INDEX('ISV Inventory'!$AS$6:$AS$255,MATCH(SMALL('ISV Inventory'!$AU$6:$AU$255,$A154),'ISV Inventory'!$AU$6:$AU$255,0))&amp;"",""))</f>
        <v/>
      </c>
    </row>
    <row r="155" customFormat="false" ht="15" hidden="false" customHeight="false" outlineLevel="0" collapsed="false">
      <c r="A155" s="13" t="str">
        <f aca="false">IF(COUNT('ISV Inventory'!$AU$6:$AU$255)&lt;151,"",151)</f>
        <v/>
      </c>
      <c r="B155" s="47" t="str">
        <f aca="false">IF($A155="","",IFERROR(INDEX('ISV Inventory'!$V$6:$V$255,MATCH(SMALL('ISV Inventory'!$AU$6:$AU$255,$A155),'ISV Inventory'!$AU$6:$AU$255,0)),""))</f>
        <v/>
      </c>
      <c r="C155" s="48" t="str">
        <f aca="false">IF($A155="","",IFERROR(INDEX('ISV Inventory'!$AA$6:$AA$255,MATCH(SMALL('ISV Inventory'!$AU$6:$AU$255,$A155),'ISV Inventory'!$AU$6:$AU$255,0)),""))</f>
        <v/>
      </c>
      <c r="D155" s="13" t="str">
        <f aca="false">IF($A155="","",IFERROR(INDEX('ISV Inventory'!$AB$6:$AB$255,MATCH(SMALL('ISV Inventory'!$AU$6:$AU$255,$A155),'ISV Inventory'!$AU$6:$AU$255,0))&amp;"",""))</f>
        <v/>
      </c>
      <c r="E155" s="13" t="str">
        <f aca="false">IF($A155="","",IFERROR(INDEX('ISV Inventory'!$B$6:$B$255,MATCH(SMALL('ISV Inventory'!$AU$6:$AU$255,$A155),'ISV Inventory'!$AU$6:$AU$255,0))&amp;"",""))</f>
        <v/>
      </c>
      <c r="F155" s="13" t="str">
        <f aca="false">IF($A155="","",IFERROR(INDEX('ISV Inventory'!$F$6:$F$255,MATCH(SMALL('ISV Inventory'!$AU$6:$AU$255,$A155),'ISV Inventory'!$AU$6:$AU$255,0))&amp;"",""))</f>
        <v/>
      </c>
      <c r="G155" s="49" t="str">
        <f aca="false">IF($A155="","",IFERROR(INDEX('ISV Inventory'!$R$6:$R$255,MATCH(SMALL('ISV Inventory'!$AU$6:$AU$255,$A155),'ISV Inventory'!$AU$6:$AU$255,0)),""))</f>
        <v/>
      </c>
      <c r="H155" s="13" t="str">
        <f aca="false">IF($A155="","",IFERROR(INDEX('ISV Inventory'!$X$6:$X$255,MATCH(SMALL('ISV Inventory'!$AU$6:$AU$255,$A155),'ISV Inventory'!$AU$6:$AU$255,0))&amp;"",""))</f>
        <v/>
      </c>
      <c r="I155" s="47" t="str">
        <f aca="false">IF($A155="","",IFERROR(INDEX('ISV Inventory'!$Z$6:$Z$255,MATCH(SMALL('ISV Inventory'!$AU$6:$AU$255,$A155),'ISV Inventory'!$AU$6:$AU$255,0)),""))</f>
        <v/>
      </c>
      <c r="J155" s="13" t="str">
        <f aca="false">IF($A155="","",IFERROR(INDEX('ISV Inventory'!$AG$6:$AG$255,MATCH(SMALL('ISV Inventory'!$AU$6:$AU$255,$A155),'ISV Inventory'!$AU$6:$AU$255,0))&amp;"",""))</f>
        <v/>
      </c>
      <c r="K155" s="13" t="str">
        <f aca="false">IF($A155="","",IFERROR(INDEX('ISV Inventory'!$AK$6:$AK$255,MATCH(SMALL('ISV Inventory'!$AU$6:$AU$255,$A155),'ISV Inventory'!$AU$6:$AU$255,0))&amp;"",""))</f>
        <v/>
      </c>
      <c r="L155" s="13" t="str">
        <f aca="false">IF($A155="","",IFERROR(INDEX('ISV Inventory'!$AR$6:$AR$255,MATCH(SMALL('ISV Inventory'!$AU$6:$AU$255,$A155),'ISV Inventory'!$AU$6:$AU$255,0))&amp;"",""))</f>
        <v/>
      </c>
      <c r="M155" s="13" t="str">
        <f aca="false">IF($A155="","",IFERROR(INDEX('ISV Inventory'!$AS$6:$AS$255,MATCH(SMALL('ISV Inventory'!$AU$6:$AU$255,$A155),'ISV Inventory'!$AU$6:$AU$255,0))&amp;"",""))</f>
        <v/>
      </c>
    </row>
    <row r="156" customFormat="false" ht="15" hidden="false" customHeight="false" outlineLevel="0" collapsed="false">
      <c r="A156" s="13" t="str">
        <f aca="false">IF(COUNT('ISV Inventory'!$AU$6:$AU$255)&lt;152,"",152)</f>
        <v/>
      </c>
      <c r="B156" s="47" t="str">
        <f aca="false">IF($A156="","",IFERROR(INDEX('ISV Inventory'!$V$6:$V$255,MATCH(SMALL('ISV Inventory'!$AU$6:$AU$255,$A156),'ISV Inventory'!$AU$6:$AU$255,0)),""))</f>
        <v/>
      </c>
      <c r="C156" s="48" t="str">
        <f aca="false">IF($A156="","",IFERROR(INDEX('ISV Inventory'!$AA$6:$AA$255,MATCH(SMALL('ISV Inventory'!$AU$6:$AU$255,$A156),'ISV Inventory'!$AU$6:$AU$255,0)),""))</f>
        <v/>
      </c>
      <c r="D156" s="13" t="str">
        <f aca="false">IF($A156="","",IFERROR(INDEX('ISV Inventory'!$AB$6:$AB$255,MATCH(SMALL('ISV Inventory'!$AU$6:$AU$255,$A156),'ISV Inventory'!$AU$6:$AU$255,0))&amp;"",""))</f>
        <v/>
      </c>
      <c r="E156" s="13" t="str">
        <f aca="false">IF($A156="","",IFERROR(INDEX('ISV Inventory'!$B$6:$B$255,MATCH(SMALL('ISV Inventory'!$AU$6:$AU$255,$A156),'ISV Inventory'!$AU$6:$AU$255,0))&amp;"",""))</f>
        <v/>
      </c>
      <c r="F156" s="13" t="str">
        <f aca="false">IF($A156="","",IFERROR(INDEX('ISV Inventory'!$F$6:$F$255,MATCH(SMALL('ISV Inventory'!$AU$6:$AU$255,$A156),'ISV Inventory'!$AU$6:$AU$255,0))&amp;"",""))</f>
        <v/>
      </c>
      <c r="G156" s="49" t="str">
        <f aca="false">IF($A156="","",IFERROR(INDEX('ISV Inventory'!$R$6:$R$255,MATCH(SMALL('ISV Inventory'!$AU$6:$AU$255,$A156),'ISV Inventory'!$AU$6:$AU$255,0)),""))</f>
        <v/>
      </c>
      <c r="H156" s="13" t="str">
        <f aca="false">IF($A156="","",IFERROR(INDEX('ISV Inventory'!$X$6:$X$255,MATCH(SMALL('ISV Inventory'!$AU$6:$AU$255,$A156),'ISV Inventory'!$AU$6:$AU$255,0))&amp;"",""))</f>
        <v/>
      </c>
      <c r="I156" s="47" t="str">
        <f aca="false">IF($A156="","",IFERROR(INDEX('ISV Inventory'!$Z$6:$Z$255,MATCH(SMALL('ISV Inventory'!$AU$6:$AU$255,$A156),'ISV Inventory'!$AU$6:$AU$255,0)),""))</f>
        <v/>
      </c>
      <c r="J156" s="13" t="str">
        <f aca="false">IF($A156="","",IFERROR(INDEX('ISV Inventory'!$AG$6:$AG$255,MATCH(SMALL('ISV Inventory'!$AU$6:$AU$255,$A156),'ISV Inventory'!$AU$6:$AU$255,0))&amp;"",""))</f>
        <v/>
      </c>
      <c r="K156" s="13" t="str">
        <f aca="false">IF($A156="","",IFERROR(INDEX('ISV Inventory'!$AK$6:$AK$255,MATCH(SMALL('ISV Inventory'!$AU$6:$AU$255,$A156),'ISV Inventory'!$AU$6:$AU$255,0))&amp;"",""))</f>
        <v/>
      </c>
      <c r="L156" s="13" t="str">
        <f aca="false">IF($A156="","",IFERROR(INDEX('ISV Inventory'!$AR$6:$AR$255,MATCH(SMALL('ISV Inventory'!$AU$6:$AU$255,$A156),'ISV Inventory'!$AU$6:$AU$255,0))&amp;"",""))</f>
        <v/>
      </c>
      <c r="M156" s="13" t="str">
        <f aca="false">IF($A156="","",IFERROR(INDEX('ISV Inventory'!$AS$6:$AS$255,MATCH(SMALL('ISV Inventory'!$AU$6:$AU$255,$A156),'ISV Inventory'!$AU$6:$AU$255,0))&amp;"",""))</f>
        <v/>
      </c>
    </row>
    <row r="157" customFormat="false" ht="15" hidden="false" customHeight="false" outlineLevel="0" collapsed="false">
      <c r="A157" s="13" t="str">
        <f aca="false">IF(COUNT('ISV Inventory'!$AU$6:$AU$255)&lt;153,"",153)</f>
        <v/>
      </c>
      <c r="B157" s="47" t="str">
        <f aca="false">IF($A157="","",IFERROR(INDEX('ISV Inventory'!$V$6:$V$255,MATCH(SMALL('ISV Inventory'!$AU$6:$AU$255,$A157),'ISV Inventory'!$AU$6:$AU$255,0)),""))</f>
        <v/>
      </c>
      <c r="C157" s="48" t="str">
        <f aca="false">IF($A157="","",IFERROR(INDEX('ISV Inventory'!$AA$6:$AA$255,MATCH(SMALL('ISV Inventory'!$AU$6:$AU$255,$A157),'ISV Inventory'!$AU$6:$AU$255,0)),""))</f>
        <v/>
      </c>
      <c r="D157" s="13" t="str">
        <f aca="false">IF($A157="","",IFERROR(INDEX('ISV Inventory'!$AB$6:$AB$255,MATCH(SMALL('ISV Inventory'!$AU$6:$AU$255,$A157),'ISV Inventory'!$AU$6:$AU$255,0))&amp;"",""))</f>
        <v/>
      </c>
      <c r="E157" s="13" t="str">
        <f aca="false">IF($A157="","",IFERROR(INDEX('ISV Inventory'!$B$6:$B$255,MATCH(SMALL('ISV Inventory'!$AU$6:$AU$255,$A157),'ISV Inventory'!$AU$6:$AU$255,0))&amp;"",""))</f>
        <v/>
      </c>
      <c r="F157" s="13" t="str">
        <f aca="false">IF($A157="","",IFERROR(INDEX('ISV Inventory'!$F$6:$F$255,MATCH(SMALL('ISV Inventory'!$AU$6:$AU$255,$A157),'ISV Inventory'!$AU$6:$AU$255,0))&amp;"",""))</f>
        <v/>
      </c>
      <c r="G157" s="49" t="str">
        <f aca="false">IF($A157="","",IFERROR(INDEX('ISV Inventory'!$R$6:$R$255,MATCH(SMALL('ISV Inventory'!$AU$6:$AU$255,$A157),'ISV Inventory'!$AU$6:$AU$255,0)),""))</f>
        <v/>
      </c>
      <c r="H157" s="13" t="str">
        <f aca="false">IF($A157="","",IFERROR(INDEX('ISV Inventory'!$X$6:$X$255,MATCH(SMALL('ISV Inventory'!$AU$6:$AU$255,$A157),'ISV Inventory'!$AU$6:$AU$255,0))&amp;"",""))</f>
        <v/>
      </c>
      <c r="I157" s="47" t="str">
        <f aca="false">IF($A157="","",IFERROR(INDEX('ISV Inventory'!$Z$6:$Z$255,MATCH(SMALL('ISV Inventory'!$AU$6:$AU$255,$A157),'ISV Inventory'!$AU$6:$AU$255,0)),""))</f>
        <v/>
      </c>
      <c r="J157" s="13" t="str">
        <f aca="false">IF($A157="","",IFERROR(INDEX('ISV Inventory'!$AG$6:$AG$255,MATCH(SMALL('ISV Inventory'!$AU$6:$AU$255,$A157),'ISV Inventory'!$AU$6:$AU$255,0))&amp;"",""))</f>
        <v/>
      </c>
      <c r="K157" s="13" t="str">
        <f aca="false">IF($A157="","",IFERROR(INDEX('ISV Inventory'!$AK$6:$AK$255,MATCH(SMALL('ISV Inventory'!$AU$6:$AU$255,$A157),'ISV Inventory'!$AU$6:$AU$255,0))&amp;"",""))</f>
        <v/>
      </c>
      <c r="L157" s="13" t="str">
        <f aca="false">IF($A157="","",IFERROR(INDEX('ISV Inventory'!$AR$6:$AR$255,MATCH(SMALL('ISV Inventory'!$AU$6:$AU$255,$A157),'ISV Inventory'!$AU$6:$AU$255,0))&amp;"",""))</f>
        <v/>
      </c>
      <c r="M157" s="13" t="str">
        <f aca="false">IF($A157="","",IFERROR(INDEX('ISV Inventory'!$AS$6:$AS$255,MATCH(SMALL('ISV Inventory'!$AU$6:$AU$255,$A157),'ISV Inventory'!$AU$6:$AU$255,0))&amp;"",""))</f>
        <v/>
      </c>
    </row>
    <row r="158" customFormat="false" ht="15" hidden="false" customHeight="false" outlineLevel="0" collapsed="false">
      <c r="A158" s="13" t="str">
        <f aca="false">IF(COUNT('ISV Inventory'!$AU$6:$AU$255)&lt;154,"",154)</f>
        <v/>
      </c>
      <c r="B158" s="47" t="str">
        <f aca="false">IF($A158="","",IFERROR(INDEX('ISV Inventory'!$V$6:$V$255,MATCH(SMALL('ISV Inventory'!$AU$6:$AU$255,$A158),'ISV Inventory'!$AU$6:$AU$255,0)),""))</f>
        <v/>
      </c>
      <c r="C158" s="48" t="str">
        <f aca="false">IF($A158="","",IFERROR(INDEX('ISV Inventory'!$AA$6:$AA$255,MATCH(SMALL('ISV Inventory'!$AU$6:$AU$255,$A158),'ISV Inventory'!$AU$6:$AU$255,0)),""))</f>
        <v/>
      </c>
      <c r="D158" s="13" t="str">
        <f aca="false">IF($A158="","",IFERROR(INDEX('ISV Inventory'!$AB$6:$AB$255,MATCH(SMALL('ISV Inventory'!$AU$6:$AU$255,$A158),'ISV Inventory'!$AU$6:$AU$255,0))&amp;"",""))</f>
        <v/>
      </c>
      <c r="E158" s="13" t="str">
        <f aca="false">IF($A158="","",IFERROR(INDEX('ISV Inventory'!$B$6:$B$255,MATCH(SMALL('ISV Inventory'!$AU$6:$AU$255,$A158),'ISV Inventory'!$AU$6:$AU$255,0))&amp;"",""))</f>
        <v/>
      </c>
      <c r="F158" s="13" t="str">
        <f aca="false">IF($A158="","",IFERROR(INDEX('ISV Inventory'!$F$6:$F$255,MATCH(SMALL('ISV Inventory'!$AU$6:$AU$255,$A158),'ISV Inventory'!$AU$6:$AU$255,0))&amp;"",""))</f>
        <v/>
      </c>
      <c r="G158" s="49" t="str">
        <f aca="false">IF($A158="","",IFERROR(INDEX('ISV Inventory'!$R$6:$R$255,MATCH(SMALL('ISV Inventory'!$AU$6:$AU$255,$A158),'ISV Inventory'!$AU$6:$AU$255,0)),""))</f>
        <v/>
      </c>
      <c r="H158" s="13" t="str">
        <f aca="false">IF($A158="","",IFERROR(INDEX('ISV Inventory'!$X$6:$X$255,MATCH(SMALL('ISV Inventory'!$AU$6:$AU$255,$A158),'ISV Inventory'!$AU$6:$AU$255,0))&amp;"",""))</f>
        <v/>
      </c>
      <c r="I158" s="47" t="str">
        <f aca="false">IF($A158="","",IFERROR(INDEX('ISV Inventory'!$Z$6:$Z$255,MATCH(SMALL('ISV Inventory'!$AU$6:$AU$255,$A158),'ISV Inventory'!$AU$6:$AU$255,0)),""))</f>
        <v/>
      </c>
      <c r="J158" s="13" t="str">
        <f aca="false">IF($A158="","",IFERROR(INDEX('ISV Inventory'!$AG$6:$AG$255,MATCH(SMALL('ISV Inventory'!$AU$6:$AU$255,$A158),'ISV Inventory'!$AU$6:$AU$255,0))&amp;"",""))</f>
        <v/>
      </c>
      <c r="K158" s="13" t="str">
        <f aca="false">IF($A158="","",IFERROR(INDEX('ISV Inventory'!$AK$6:$AK$255,MATCH(SMALL('ISV Inventory'!$AU$6:$AU$255,$A158),'ISV Inventory'!$AU$6:$AU$255,0))&amp;"",""))</f>
        <v/>
      </c>
      <c r="L158" s="13" t="str">
        <f aca="false">IF($A158="","",IFERROR(INDEX('ISV Inventory'!$AR$6:$AR$255,MATCH(SMALL('ISV Inventory'!$AU$6:$AU$255,$A158),'ISV Inventory'!$AU$6:$AU$255,0))&amp;"",""))</f>
        <v/>
      </c>
      <c r="M158" s="13" t="str">
        <f aca="false">IF($A158="","",IFERROR(INDEX('ISV Inventory'!$AS$6:$AS$255,MATCH(SMALL('ISV Inventory'!$AU$6:$AU$255,$A158),'ISV Inventory'!$AU$6:$AU$255,0))&amp;"",""))</f>
        <v/>
      </c>
    </row>
    <row r="159" customFormat="false" ht="15" hidden="false" customHeight="false" outlineLevel="0" collapsed="false">
      <c r="A159" s="13" t="str">
        <f aca="false">IF(COUNT('ISV Inventory'!$AU$6:$AU$255)&lt;155,"",155)</f>
        <v/>
      </c>
      <c r="B159" s="47" t="str">
        <f aca="false">IF($A159="","",IFERROR(INDEX('ISV Inventory'!$V$6:$V$255,MATCH(SMALL('ISV Inventory'!$AU$6:$AU$255,$A159),'ISV Inventory'!$AU$6:$AU$255,0)),""))</f>
        <v/>
      </c>
      <c r="C159" s="48" t="str">
        <f aca="false">IF($A159="","",IFERROR(INDEX('ISV Inventory'!$AA$6:$AA$255,MATCH(SMALL('ISV Inventory'!$AU$6:$AU$255,$A159),'ISV Inventory'!$AU$6:$AU$255,0)),""))</f>
        <v/>
      </c>
      <c r="D159" s="13" t="str">
        <f aca="false">IF($A159="","",IFERROR(INDEX('ISV Inventory'!$AB$6:$AB$255,MATCH(SMALL('ISV Inventory'!$AU$6:$AU$255,$A159),'ISV Inventory'!$AU$6:$AU$255,0))&amp;"",""))</f>
        <v/>
      </c>
      <c r="E159" s="13" t="str">
        <f aca="false">IF($A159="","",IFERROR(INDEX('ISV Inventory'!$B$6:$B$255,MATCH(SMALL('ISV Inventory'!$AU$6:$AU$255,$A159),'ISV Inventory'!$AU$6:$AU$255,0))&amp;"",""))</f>
        <v/>
      </c>
      <c r="F159" s="13" t="str">
        <f aca="false">IF($A159="","",IFERROR(INDEX('ISV Inventory'!$F$6:$F$255,MATCH(SMALL('ISV Inventory'!$AU$6:$AU$255,$A159),'ISV Inventory'!$AU$6:$AU$255,0))&amp;"",""))</f>
        <v/>
      </c>
      <c r="G159" s="49" t="str">
        <f aca="false">IF($A159="","",IFERROR(INDEX('ISV Inventory'!$R$6:$R$255,MATCH(SMALL('ISV Inventory'!$AU$6:$AU$255,$A159),'ISV Inventory'!$AU$6:$AU$255,0)),""))</f>
        <v/>
      </c>
      <c r="H159" s="13" t="str">
        <f aca="false">IF($A159="","",IFERROR(INDEX('ISV Inventory'!$X$6:$X$255,MATCH(SMALL('ISV Inventory'!$AU$6:$AU$255,$A159),'ISV Inventory'!$AU$6:$AU$255,0))&amp;"",""))</f>
        <v/>
      </c>
      <c r="I159" s="47" t="str">
        <f aca="false">IF($A159="","",IFERROR(INDEX('ISV Inventory'!$Z$6:$Z$255,MATCH(SMALL('ISV Inventory'!$AU$6:$AU$255,$A159),'ISV Inventory'!$AU$6:$AU$255,0)),""))</f>
        <v/>
      </c>
      <c r="J159" s="13" t="str">
        <f aca="false">IF($A159="","",IFERROR(INDEX('ISV Inventory'!$AG$6:$AG$255,MATCH(SMALL('ISV Inventory'!$AU$6:$AU$255,$A159),'ISV Inventory'!$AU$6:$AU$255,0))&amp;"",""))</f>
        <v/>
      </c>
      <c r="K159" s="13" t="str">
        <f aca="false">IF($A159="","",IFERROR(INDEX('ISV Inventory'!$AK$6:$AK$255,MATCH(SMALL('ISV Inventory'!$AU$6:$AU$255,$A159),'ISV Inventory'!$AU$6:$AU$255,0))&amp;"",""))</f>
        <v/>
      </c>
      <c r="L159" s="13" t="str">
        <f aca="false">IF($A159="","",IFERROR(INDEX('ISV Inventory'!$AR$6:$AR$255,MATCH(SMALL('ISV Inventory'!$AU$6:$AU$255,$A159),'ISV Inventory'!$AU$6:$AU$255,0))&amp;"",""))</f>
        <v/>
      </c>
      <c r="M159" s="13" t="str">
        <f aca="false">IF($A159="","",IFERROR(INDEX('ISV Inventory'!$AS$6:$AS$255,MATCH(SMALL('ISV Inventory'!$AU$6:$AU$255,$A159),'ISV Inventory'!$AU$6:$AU$255,0))&amp;"",""))</f>
        <v/>
      </c>
    </row>
    <row r="160" customFormat="false" ht="15" hidden="false" customHeight="false" outlineLevel="0" collapsed="false">
      <c r="A160" s="13" t="str">
        <f aca="false">IF(COUNT('ISV Inventory'!$AU$6:$AU$255)&lt;156,"",156)</f>
        <v/>
      </c>
      <c r="B160" s="47" t="str">
        <f aca="false">IF($A160="","",IFERROR(INDEX('ISV Inventory'!$V$6:$V$255,MATCH(SMALL('ISV Inventory'!$AU$6:$AU$255,$A160),'ISV Inventory'!$AU$6:$AU$255,0)),""))</f>
        <v/>
      </c>
      <c r="C160" s="48" t="str">
        <f aca="false">IF($A160="","",IFERROR(INDEX('ISV Inventory'!$AA$6:$AA$255,MATCH(SMALL('ISV Inventory'!$AU$6:$AU$255,$A160),'ISV Inventory'!$AU$6:$AU$255,0)),""))</f>
        <v/>
      </c>
      <c r="D160" s="13" t="str">
        <f aca="false">IF($A160="","",IFERROR(INDEX('ISV Inventory'!$AB$6:$AB$255,MATCH(SMALL('ISV Inventory'!$AU$6:$AU$255,$A160),'ISV Inventory'!$AU$6:$AU$255,0))&amp;"",""))</f>
        <v/>
      </c>
      <c r="E160" s="13" t="str">
        <f aca="false">IF($A160="","",IFERROR(INDEX('ISV Inventory'!$B$6:$B$255,MATCH(SMALL('ISV Inventory'!$AU$6:$AU$255,$A160),'ISV Inventory'!$AU$6:$AU$255,0))&amp;"",""))</f>
        <v/>
      </c>
      <c r="F160" s="13" t="str">
        <f aca="false">IF($A160="","",IFERROR(INDEX('ISV Inventory'!$F$6:$F$255,MATCH(SMALL('ISV Inventory'!$AU$6:$AU$255,$A160),'ISV Inventory'!$AU$6:$AU$255,0))&amp;"",""))</f>
        <v/>
      </c>
      <c r="G160" s="49" t="str">
        <f aca="false">IF($A160="","",IFERROR(INDEX('ISV Inventory'!$R$6:$R$255,MATCH(SMALL('ISV Inventory'!$AU$6:$AU$255,$A160),'ISV Inventory'!$AU$6:$AU$255,0)),""))</f>
        <v/>
      </c>
      <c r="H160" s="13" t="str">
        <f aca="false">IF($A160="","",IFERROR(INDEX('ISV Inventory'!$X$6:$X$255,MATCH(SMALL('ISV Inventory'!$AU$6:$AU$255,$A160),'ISV Inventory'!$AU$6:$AU$255,0))&amp;"",""))</f>
        <v/>
      </c>
      <c r="I160" s="47" t="str">
        <f aca="false">IF($A160="","",IFERROR(INDEX('ISV Inventory'!$Z$6:$Z$255,MATCH(SMALL('ISV Inventory'!$AU$6:$AU$255,$A160),'ISV Inventory'!$AU$6:$AU$255,0)),""))</f>
        <v/>
      </c>
      <c r="J160" s="13" t="str">
        <f aca="false">IF($A160="","",IFERROR(INDEX('ISV Inventory'!$AG$6:$AG$255,MATCH(SMALL('ISV Inventory'!$AU$6:$AU$255,$A160),'ISV Inventory'!$AU$6:$AU$255,0))&amp;"",""))</f>
        <v/>
      </c>
      <c r="K160" s="13" t="str">
        <f aca="false">IF($A160="","",IFERROR(INDEX('ISV Inventory'!$AK$6:$AK$255,MATCH(SMALL('ISV Inventory'!$AU$6:$AU$255,$A160),'ISV Inventory'!$AU$6:$AU$255,0))&amp;"",""))</f>
        <v/>
      </c>
      <c r="L160" s="13" t="str">
        <f aca="false">IF($A160="","",IFERROR(INDEX('ISV Inventory'!$AR$6:$AR$255,MATCH(SMALL('ISV Inventory'!$AU$6:$AU$255,$A160),'ISV Inventory'!$AU$6:$AU$255,0))&amp;"",""))</f>
        <v/>
      </c>
      <c r="M160" s="13" t="str">
        <f aca="false">IF($A160="","",IFERROR(INDEX('ISV Inventory'!$AS$6:$AS$255,MATCH(SMALL('ISV Inventory'!$AU$6:$AU$255,$A160),'ISV Inventory'!$AU$6:$AU$255,0))&amp;"",""))</f>
        <v/>
      </c>
    </row>
    <row r="161" customFormat="false" ht="15" hidden="false" customHeight="false" outlineLevel="0" collapsed="false">
      <c r="A161" s="13" t="str">
        <f aca="false">IF(COUNT('ISV Inventory'!$AU$6:$AU$255)&lt;157,"",157)</f>
        <v/>
      </c>
      <c r="B161" s="47" t="str">
        <f aca="false">IF($A161="","",IFERROR(INDEX('ISV Inventory'!$V$6:$V$255,MATCH(SMALL('ISV Inventory'!$AU$6:$AU$255,$A161),'ISV Inventory'!$AU$6:$AU$255,0)),""))</f>
        <v/>
      </c>
      <c r="C161" s="48" t="str">
        <f aca="false">IF($A161="","",IFERROR(INDEX('ISV Inventory'!$AA$6:$AA$255,MATCH(SMALL('ISV Inventory'!$AU$6:$AU$255,$A161),'ISV Inventory'!$AU$6:$AU$255,0)),""))</f>
        <v/>
      </c>
      <c r="D161" s="13" t="str">
        <f aca="false">IF($A161="","",IFERROR(INDEX('ISV Inventory'!$AB$6:$AB$255,MATCH(SMALL('ISV Inventory'!$AU$6:$AU$255,$A161),'ISV Inventory'!$AU$6:$AU$255,0))&amp;"",""))</f>
        <v/>
      </c>
      <c r="E161" s="13" t="str">
        <f aca="false">IF($A161="","",IFERROR(INDEX('ISV Inventory'!$B$6:$B$255,MATCH(SMALL('ISV Inventory'!$AU$6:$AU$255,$A161),'ISV Inventory'!$AU$6:$AU$255,0))&amp;"",""))</f>
        <v/>
      </c>
      <c r="F161" s="13" t="str">
        <f aca="false">IF($A161="","",IFERROR(INDEX('ISV Inventory'!$F$6:$F$255,MATCH(SMALL('ISV Inventory'!$AU$6:$AU$255,$A161),'ISV Inventory'!$AU$6:$AU$255,0))&amp;"",""))</f>
        <v/>
      </c>
      <c r="G161" s="49" t="str">
        <f aca="false">IF($A161="","",IFERROR(INDEX('ISV Inventory'!$R$6:$R$255,MATCH(SMALL('ISV Inventory'!$AU$6:$AU$255,$A161),'ISV Inventory'!$AU$6:$AU$255,0)),""))</f>
        <v/>
      </c>
      <c r="H161" s="13" t="str">
        <f aca="false">IF($A161="","",IFERROR(INDEX('ISV Inventory'!$X$6:$X$255,MATCH(SMALL('ISV Inventory'!$AU$6:$AU$255,$A161),'ISV Inventory'!$AU$6:$AU$255,0))&amp;"",""))</f>
        <v/>
      </c>
      <c r="I161" s="47" t="str">
        <f aca="false">IF($A161="","",IFERROR(INDEX('ISV Inventory'!$Z$6:$Z$255,MATCH(SMALL('ISV Inventory'!$AU$6:$AU$255,$A161),'ISV Inventory'!$AU$6:$AU$255,0)),""))</f>
        <v/>
      </c>
      <c r="J161" s="13" t="str">
        <f aca="false">IF($A161="","",IFERROR(INDEX('ISV Inventory'!$AG$6:$AG$255,MATCH(SMALL('ISV Inventory'!$AU$6:$AU$255,$A161),'ISV Inventory'!$AU$6:$AU$255,0))&amp;"",""))</f>
        <v/>
      </c>
      <c r="K161" s="13" t="str">
        <f aca="false">IF($A161="","",IFERROR(INDEX('ISV Inventory'!$AK$6:$AK$255,MATCH(SMALL('ISV Inventory'!$AU$6:$AU$255,$A161),'ISV Inventory'!$AU$6:$AU$255,0))&amp;"",""))</f>
        <v/>
      </c>
      <c r="L161" s="13" t="str">
        <f aca="false">IF($A161="","",IFERROR(INDEX('ISV Inventory'!$AR$6:$AR$255,MATCH(SMALL('ISV Inventory'!$AU$6:$AU$255,$A161),'ISV Inventory'!$AU$6:$AU$255,0))&amp;"",""))</f>
        <v/>
      </c>
      <c r="M161" s="13" t="str">
        <f aca="false">IF($A161="","",IFERROR(INDEX('ISV Inventory'!$AS$6:$AS$255,MATCH(SMALL('ISV Inventory'!$AU$6:$AU$255,$A161),'ISV Inventory'!$AU$6:$AU$255,0))&amp;"",""))</f>
        <v/>
      </c>
    </row>
    <row r="162" customFormat="false" ht="15" hidden="false" customHeight="false" outlineLevel="0" collapsed="false">
      <c r="A162" s="13" t="str">
        <f aca="false">IF(COUNT('ISV Inventory'!$AU$6:$AU$255)&lt;158,"",158)</f>
        <v/>
      </c>
      <c r="B162" s="47" t="str">
        <f aca="false">IF($A162="","",IFERROR(INDEX('ISV Inventory'!$V$6:$V$255,MATCH(SMALL('ISV Inventory'!$AU$6:$AU$255,$A162),'ISV Inventory'!$AU$6:$AU$255,0)),""))</f>
        <v/>
      </c>
      <c r="C162" s="48" t="str">
        <f aca="false">IF($A162="","",IFERROR(INDEX('ISV Inventory'!$AA$6:$AA$255,MATCH(SMALL('ISV Inventory'!$AU$6:$AU$255,$A162),'ISV Inventory'!$AU$6:$AU$255,0)),""))</f>
        <v/>
      </c>
      <c r="D162" s="13" t="str">
        <f aca="false">IF($A162="","",IFERROR(INDEX('ISV Inventory'!$AB$6:$AB$255,MATCH(SMALL('ISV Inventory'!$AU$6:$AU$255,$A162),'ISV Inventory'!$AU$6:$AU$255,0))&amp;"",""))</f>
        <v/>
      </c>
      <c r="E162" s="13" t="str">
        <f aca="false">IF($A162="","",IFERROR(INDEX('ISV Inventory'!$B$6:$B$255,MATCH(SMALL('ISV Inventory'!$AU$6:$AU$255,$A162),'ISV Inventory'!$AU$6:$AU$255,0))&amp;"",""))</f>
        <v/>
      </c>
      <c r="F162" s="13" t="str">
        <f aca="false">IF($A162="","",IFERROR(INDEX('ISV Inventory'!$F$6:$F$255,MATCH(SMALL('ISV Inventory'!$AU$6:$AU$255,$A162),'ISV Inventory'!$AU$6:$AU$255,0))&amp;"",""))</f>
        <v/>
      </c>
      <c r="G162" s="49" t="str">
        <f aca="false">IF($A162="","",IFERROR(INDEX('ISV Inventory'!$R$6:$R$255,MATCH(SMALL('ISV Inventory'!$AU$6:$AU$255,$A162),'ISV Inventory'!$AU$6:$AU$255,0)),""))</f>
        <v/>
      </c>
      <c r="H162" s="13" t="str">
        <f aca="false">IF($A162="","",IFERROR(INDEX('ISV Inventory'!$X$6:$X$255,MATCH(SMALL('ISV Inventory'!$AU$6:$AU$255,$A162),'ISV Inventory'!$AU$6:$AU$255,0))&amp;"",""))</f>
        <v/>
      </c>
      <c r="I162" s="47" t="str">
        <f aca="false">IF($A162="","",IFERROR(INDEX('ISV Inventory'!$Z$6:$Z$255,MATCH(SMALL('ISV Inventory'!$AU$6:$AU$255,$A162),'ISV Inventory'!$AU$6:$AU$255,0)),""))</f>
        <v/>
      </c>
      <c r="J162" s="13" t="str">
        <f aca="false">IF($A162="","",IFERROR(INDEX('ISV Inventory'!$AG$6:$AG$255,MATCH(SMALL('ISV Inventory'!$AU$6:$AU$255,$A162),'ISV Inventory'!$AU$6:$AU$255,0))&amp;"",""))</f>
        <v/>
      </c>
      <c r="K162" s="13" t="str">
        <f aca="false">IF($A162="","",IFERROR(INDEX('ISV Inventory'!$AK$6:$AK$255,MATCH(SMALL('ISV Inventory'!$AU$6:$AU$255,$A162),'ISV Inventory'!$AU$6:$AU$255,0))&amp;"",""))</f>
        <v/>
      </c>
      <c r="L162" s="13" t="str">
        <f aca="false">IF($A162="","",IFERROR(INDEX('ISV Inventory'!$AR$6:$AR$255,MATCH(SMALL('ISV Inventory'!$AU$6:$AU$255,$A162),'ISV Inventory'!$AU$6:$AU$255,0))&amp;"",""))</f>
        <v/>
      </c>
      <c r="M162" s="13" t="str">
        <f aca="false">IF($A162="","",IFERROR(INDEX('ISV Inventory'!$AS$6:$AS$255,MATCH(SMALL('ISV Inventory'!$AU$6:$AU$255,$A162),'ISV Inventory'!$AU$6:$AU$255,0))&amp;"",""))</f>
        <v/>
      </c>
    </row>
    <row r="163" customFormat="false" ht="15" hidden="false" customHeight="false" outlineLevel="0" collapsed="false">
      <c r="A163" s="13" t="str">
        <f aca="false">IF(COUNT('ISV Inventory'!$AU$6:$AU$255)&lt;159,"",159)</f>
        <v/>
      </c>
      <c r="B163" s="47" t="str">
        <f aca="false">IF($A163="","",IFERROR(INDEX('ISV Inventory'!$V$6:$V$255,MATCH(SMALL('ISV Inventory'!$AU$6:$AU$255,$A163),'ISV Inventory'!$AU$6:$AU$255,0)),""))</f>
        <v/>
      </c>
      <c r="C163" s="48" t="str">
        <f aca="false">IF($A163="","",IFERROR(INDEX('ISV Inventory'!$AA$6:$AA$255,MATCH(SMALL('ISV Inventory'!$AU$6:$AU$255,$A163),'ISV Inventory'!$AU$6:$AU$255,0)),""))</f>
        <v/>
      </c>
      <c r="D163" s="13" t="str">
        <f aca="false">IF($A163="","",IFERROR(INDEX('ISV Inventory'!$AB$6:$AB$255,MATCH(SMALL('ISV Inventory'!$AU$6:$AU$255,$A163),'ISV Inventory'!$AU$6:$AU$255,0))&amp;"",""))</f>
        <v/>
      </c>
      <c r="E163" s="13" t="str">
        <f aca="false">IF($A163="","",IFERROR(INDEX('ISV Inventory'!$B$6:$B$255,MATCH(SMALL('ISV Inventory'!$AU$6:$AU$255,$A163),'ISV Inventory'!$AU$6:$AU$255,0))&amp;"",""))</f>
        <v/>
      </c>
      <c r="F163" s="13" t="str">
        <f aca="false">IF($A163="","",IFERROR(INDEX('ISV Inventory'!$F$6:$F$255,MATCH(SMALL('ISV Inventory'!$AU$6:$AU$255,$A163),'ISV Inventory'!$AU$6:$AU$255,0))&amp;"",""))</f>
        <v/>
      </c>
      <c r="G163" s="49" t="str">
        <f aca="false">IF($A163="","",IFERROR(INDEX('ISV Inventory'!$R$6:$R$255,MATCH(SMALL('ISV Inventory'!$AU$6:$AU$255,$A163),'ISV Inventory'!$AU$6:$AU$255,0)),""))</f>
        <v/>
      </c>
      <c r="H163" s="13" t="str">
        <f aca="false">IF($A163="","",IFERROR(INDEX('ISV Inventory'!$X$6:$X$255,MATCH(SMALL('ISV Inventory'!$AU$6:$AU$255,$A163),'ISV Inventory'!$AU$6:$AU$255,0))&amp;"",""))</f>
        <v/>
      </c>
      <c r="I163" s="47" t="str">
        <f aca="false">IF($A163="","",IFERROR(INDEX('ISV Inventory'!$Z$6:$Z$255,MATCH(SMALL('ISV Inventory'!$AU$6:$AU$255,$A163),'ISV Inventory'!$AU$6:$AU$255,0)),""))</f>
        <v/>
      </c>
      <c r="J163" s="13" t="str">
        <f aca="false">IF($A163="","",IFERROR(INDEX('ISV Inventory'!$AG$6:$AG$255,MATCH(SMALL('ISV Inventory'!$AU$6:$AU$255,$A163),'ISV Inventory'!$AU$6:$AU$255,0))&amp;"",""))</f>
        <v/>
      </c>
      <c r="K163" s="13" t="str">
        <f aca="false">IF($A163="","",IFERROR(INDEX('ISV Inventory'!$AK$6:$AK$255,MATCH(SMALL('ISV Inventory'!$AU$6:$AU$255,$A163),'ISV Inventory'!$AU$6:$AU$255,0))&amp;"",""))</f>
        <v/>
      </c>
      <c r="L163" s="13" t="str">
        <f aca="false">IF($A163="","",IFERROR(INDEX('ISV Inventory'!$AR$6:$AR$255,MATCH(SMALL('ISV Inventory'!$AU$6:$AU$255,$A163),'ISV Inventory'!$AU$6:$AU$255,0))&amp;"",""))</f>
        <v/>
      </c>
      <c r="M163" s="13" t="str">
        <f aca="false">IF($A163="","",IFERROR(INDEX('ISV Inventory'!$AS$6:$AS$255,MATCH(SMALL('ISV Inventory'!$AU$6:$AU$255,$A163),'ISV Inventory'!$AU$6:$AU$255,0))&amp;"",""))</f>
        <v/>
      </c>
    </row>
    <row r="164" customFormat="false" ht="15" hidden="false" customHeight="false" outlineLevel="0" collapsed="false">
      <c r="A164" s="13" t="str">
        <f aca="false">IF(COUNT('ISV Inventory'!$AU$6:$AU$255)&lt;160,"",160)</f>
        <v/>
      </c>
      <c r="B164" s="47" t="str">
        <f aca="false">IF($A164="","",IFERROR(INDEX('ISV Inventory'!$V$6:$V$255,MATCH(SMALL('ISV Inventory'!$AU$6:$AU$255,$A164),'ISV Inventory'!$AU$6:$AU$255,0)),""))</f>
        <v/>
      </c>
      <c r="C164" s="48" t="str">
        <f aca="false">IF($A164="","",IFERROR(INDEX('ISV Inventory'!$AA$6:$AA$255,MATCH(SMALL('ISV Inventory'!$AU$6:$AU$255,$A164),'ISV Inventory'!$AU$6:$AU$255,0)),""))</f>
        <v/>
      </c>
      <c r="D164" s="13" t="str">
        <f aca="false">IF($A164="","",IFERROR(INDEX('ISV Inventory'!$AB$6:$AB$255,MATCH(SMALL('ISV Inventory'!$AU$6:$AU$255,$A164),'ISV Inventory'!$AU$6:$AU$255,0))&amp;"",""))</f>
        <v/>
      </c>
      <c r="E164" s="13" t="str">
        <f aca="false">IF($A164="","",IFERROR(INDEX('ISV Inventory'!$B$6:$B$255,MATCH(SMALL('ISV Inventory'!$AU$6:$AU$255,$A164),'ISV Inventory'!$AU$6:$AU$255,0))&amp;"",""))</f>
        <v/>
      </c>
      <c r="F164" s="13" t="str">
        <f aca="false">IF($A164="","",IFERROR(INDEX('ISV Inventory'!$F$6:$F$255,MATCH(SMALL('ISV Inventory'!$AU$6:$AU$255,$A164),'ISV Inventory'!$AU$6:$AU$255,0))&amp;"",""))</f>
        <v/>
      </c>
      <c r="G164" s="49" t="str">
        <f aca="false">IF($A164="","",IFERROR(INDEX('ISV Inventory'!$R$6:$R$255,MATCH(SMALL('ISV Inventory'!$AU$6:$AU$255,$A164),'ISV Inventory'!$AU$6:$AU$255,0)),""))</f>
        <v/>
      </c>
      <c r="H164" s="13" t="str">
        <f aca="false">IF($A164="","",IFERROR(INDEX('ISV Inventory'!$X$6:$X$255,MATCH(SMALL('ISV Inventory'!$AU$6:$AU$255,$A164),'ISV Inventory'!$AU$6:$AU$255,0))&amp;"",""))</f>
        <v/>
      </c>
      <c r="I164" s="47" t="str">
        <f aca="false">IF($A164="","",IFERROR(INDEX('ISV Inventory'!$Z$6:$Z$255,MATCH(SMALL('ISV Inventory'!$AU$6:$AU$255,$A164),'ISV Inventory'!$AU$6:$AU$255,0)),""))</f>
        <v/>
      </c>
      <c r="J164" s="13" t="str">
        <f aca="false">IF($A164="","",IFERROR(INDEX('ISV Inventory'!$AG$6:$AG$255,MATCH(SMALL('ISV Inventory'!$AU$6:$AU$255,$A164),'ISV Inventory'!$AU$6:$AU$255,0))&amp;"",""))</f>
        <v/>
      </c>
      <c r="K164" s="13" t="str">
        <f aca="false">IF($A164="","",IFERROR(INDEX('ISV Inventory'!$AK$6:$AK$255,MATCH(SMALL('ISV Inventory'!$AU$6:$AU$255,$A164),'ISV Inventory'!$AU$6:$AU$255,0))&amp;"",""))</f>
        <v/>
      </c>
      <c r="L164" s="13" t="str">
        <f aca="false">IF($A164="","",IFERROR(INDEX('ISV Inventory'!$AR$6:$AR$255,MATCH(SMALL('ISV Inventory'!$AU$6:$AU$255,$A164),'ISV Inventory'!$AU$6:$AU$255,0))&amp;"",""))</f>
        <v/>
      </c>
      <c r="M164" s="13" t="str">
        <f aca="false">IF($A164="","",IFERROR(INDEX('ISV Inventory'!$AS$6:$AS$255,MATCH(SMALL('ISV Inventory'!$AU$6:$AU$255,$A164),'ISV Inventory'!$AU$6:$AU$255,0))&amp;"",""))</f>
        <v/>
      </c>
    </row>
    <row r="165" customFormat="false" ht="15" hidden="false" customHeight="false" outlineLevel="0" collapsed="false">
      <c r="A165" s="13" t="str">
        <f aca="false">IF(COUNT('ISV Inventory'!$AU$6:$AU$255)&lt;161,"",161)</f>
        <v/>
      </c>
      <c r="B165" s="47" t="str">
        <f aca="false">IF($A165="","",IFERROR(INDEX('ISV Inventory'!$V$6:$V$255,MATCH(SMALL('ISV Inventory'!$AU$6:$AU$255,$A165),'ISV Inventory'!$AU$6:$AU$255,0)),""))</f>
        <v/>
      </c>
      <c r="C165" s="48" t="str">
        <f aca="false">IF($A165="","",IFERROR(INDEX('ISV Inventory'!$AA$6:$AA$255,MATCH(SMALL('ISV Inventory'!$AU$6:$AU$255,$A165),'ISV Inventory'!$AU$6:$AU$255,0)),""))</f>
        <v/>
      </c>
      <c r="D165" s="13" t="str">
        <f aca="false">IF($A165="","",IFERROR(INDEX('ISV Inventory'!$AB$6:$AB$255,MATCH(SMALL('ISV Inventory'!$AU$6:$AU$255,$A165),'ISV Inventory'!$AU$6:$AU$255,0))&amp;"",""))</f>
        <v/>
      </c>
      <c r="E165" s="13" t="str">
        <f aca="false">IF($A165="","",IFERROR(INDEX('ISV Inventory'!$B$6:$B$255,MATCH(SMALL('ISV Inventory'!$AU$6:$AU$255,$A165),'ISV Inventory'!$AU$6:$AU$255,0))&amp;"",""))</f>
        <v/>
      </c>
      <c r="F165" s="13" t="str">
        <f aca="false">IF($A165="","",IFERROR(INDEX('ISV Inventory'!$F$6:$F$255,MATCH(SMALL('ISV Inventory'!$AU$6:$AU$255,$A165),'ISV Inventory'!$AU$6:$AU$255,0))&amp;"",""))</f>
        <v/>
      </c>
      <c r="G165" s="49" t="str">
        <f aca="false">IF($A165="","",IFERROR(INDEX('ISV Inventory'!$R$6:$R$255,MATCH(SMALL('ISV Inventory'!$AU$6:$AU$255,$A165),'ISV Inventory'!$AU$6:$AU$255,0)),""))</f>
        <v/>
      </c>
      <c r="H165" s="13" t="str">
        <f aca="false">IF($A165="","",IFERROR(INDEX('ISV Inventory'!$X$6:$X$255,MATCH(SMALL('ISV Inventory'!$AU$6:$AU$255,$A165),'ISV Inventory'!$AU$6:$AU$255,0))&amp;"",""))</f>
        <v/>
      </c>
      <c r="I165" s="47" t="str">
        <f aca="false">IF($A165="","",IFERROR(INDEX('ISV Inventory'!$Z$6:$Z$255,MATCH(SMALL('ISV Inventory'!$AU$6:$AU$255,$A165),'ISV Inventory'!$AU$6:$AU$255,0)),""))</f>
        <v/>
      </c>
      <c r="J165" s="13" t="str">
        <f aca="false">IF($A165="","",IFERROR(INDEX('ISV Inventory'!$AG$6:$AG$255,MATCH(SMALL('ISV Inventory'!$AU$6:$AU$255,$A165),'ISV Inventory'!$AU$6:$AU$255,0))&amp;"",""))</f>
        <v/>
      </c>
      <c r="K165" s="13" t="str">
        <f aca="false">IF($A165="","",IFERROR(INDEX('ISV Inventory'!$AK$6:$AK$255,MATCH(SMALL('ISV Inventory'!$AU$6:$AU$255,$A165),'ISV Inventory'!$AU$6:$AU$255,0))&amp;"",""))</f>
        <v/>
      </c>
      <c r="L165" s="13" t="str">
        <f aca="false">IF($A165="","",IFERROR(INDEX('ISV Inventory'!$AR$6:$AR$255,MATCH(SMALL('ISV Inventory'!$AU$6:$AU$255,$A165),'ISV Inventory'!$AU$6:$AU$255,0))&amp;"",""))</f>
        <v/>
      </c>
      <c r="M165" s="13" t="str">
        <f aca="false">IF($A165="","",IFERROR(INDEX('ISV Inventory'!$AS$6:$AS$255,MATCH(SMALL('ISV Inventory'!$AU$6:$AU$255,$A165),'ISV Inventory'!$AU$6:$AU$255,0))&amp;"",""))</f>
        <v/>
      </c>
    </row>
    <row r="166" customFormat="false" ht="15" hidden="false" customHeight="false" outlineLevel="0" collapsed="false">
      <c r="A166" s="13" t="str">
        <f aca="false">IF(COUNT('ISV Inventory'!$AU$6:$AU$255)&lt;162,"",162)</f>
        <v/>
      </c>
      <c r="B166" s="47" t="str">
        <f aca="false">IF($A166="","",IFERROR(INDEX('ISV Inventory'!$V$6:$V$255,MATCH(SMALL('ISV Inventory'!$AU$6:$AU$255,$A166),'ISV Inventory'!$AU$6:$AU$255,0)),""))</f>
        <v/>
      </c>
      <c r="C166" s="48" t="str">
        <f aca="false">IF($A166="","",IFERROR(INDEX('ISV Inventory'!$AA$6:$AA$255,MATCH(SMALL('ISV Inventory'!$AU$6:$AU$255,$A166),'ISV Inventory'!$AU$6:$AU$255,0)),""))</f>
        <v/>
      </c>
      <c r="D166" s="13" t="str">
        <f aca="false">IF($A166="","",IFERROR(INDEX('ISV Inventory'!$AB$6:$AB$255,MATCH(SMALL('ISV Inventory'!$AU$6:$AU$255,$A166),'ISV Inventory'!$AU$6:$AU$255,0))&amp;"",""))</f>
        <v/>
      </c>
      <c r="E166" s="13" t="str">
        <f aca="false">IF($A166="","",IFERROR(INDEX('ISV Inventory'!$B$6:$B$255,MATCH(SMALL('ISV Inventory'!$AU$6:$AU$255,$A166),'ISV Inventory'!$AU$6:$AU$255,0))&amp;"",""))</f>
        <v/>
      </c>
      <c r="F166" s="13" t="str">
        <f aca="false">IF($A166="","",IFERROR(INDEX('ISV Inventory'!$F$6:$F$255,MATCH(SMALL('ISV Inventory'!$AU$6:$AU$255,$A166),'ISV Inventory'!$AU$6:$AU$255,0))&amp;"",""))</f>
        <v/>
      </c>
      <c r="G166" s="49" t="str">
        <f aca="false">IF($A166="","",IFERROR(INDEX('ISV Inventory'!$R$6:$R$255,MATCH(SMALL('ISV Inventory'!$AU$6:$AU$255,$A166),'ISV Inventory'!$AU$6:$AU$255,0)),""))</f>
        <v/>
      </c>
      <c r="H166" s="13" t="str">
        <f aca="false">IF($A166="","",IFERROR(INDEX('ISV Inventory'!$X$6:$X$255,MATCH(SMALL('ISV Inventory'!$AU$6:$AU$255,$A166),'ISV Inventory'!$AU$6:$AU$255,0))&amp;"",""))</f>
        <v/>
      </c>
      <c r="I166" s="47" t="str">
        <f aca="false">IF($A166="","",IFERROR(INDEX('ISV Inventory'!$Z$6:$Z$255,MATCH(SMALL('ISV Inventory'!$AU$6:$AU$255,$A166),'ISV Inventory'!$AU$6:$AU$255,0)),""))</f>
        <v/>
      </c>
      <c r="J166" s="13" t="str">
        <f aca="false">IF($A166="","",IFERROR(INDEX('ISV Inventory'!$AG$6:$AG$255,MATCH(SMALL('ISV Inventory'!$AU$6:$AU$255,$A166),'ISV Inventory'!$AU$6:$AU$255,0))&amp;"",""))</f>
        <v/>
      </c>
      <c r="K166" s="13" t="str">
        <f aca="false">IF($A166="","",IFERROR(INDEX('ISV Inventory'!$AK$6:$AK$255,MATCH(SMALL('ISV Inventory'!$AU$6:$AU$255,$A166),'ISV Inventory'!$AU$6:$AU$255,0))&amp;"",""))</f>
        <v/>
      </c>
      <c r="L166" s="13" t="str">
        <f aca="false">IF($A166="","",IFERROR(INDEX('ISV Inventory'!$AR$6:$AR$255,MATCH(SMALL('ISV Inventory'!$AU$6:$AU$255,$A166),'ISV Inventory'!$AU$6:$AU$255,0))&amp;"",""))</f>
        <v/>
      </c>
      <c r="M166" s="13" t="str">
        <f aca="false">IF($A166="","",IFERROR(INDEX('ISV Inventory'!$AS$6:$AS$255,MATCH(SMALL('ISV Inventory'!$AU$6:$AU$255,$A166),'ISV Inventory'!$AU$6:$AU$255,0))&amp;"",""))</f>
        <v/>
      </c>
    </row>
    <row r="167" customFormat="false" ht="15" hidden="false" customHeight="false" outlineLevel="0" collapsed="false">
      <c r="A167" s="13" t="str">
        <f aca="false">IF(COUNT('ISV Inventory'!$AU$6:$AU$255)&lt;163,"",163)</f>
        <v/>
      </c>
      <c r="B167" s="47" t="str">
        <f aca="false">IF($A167="","",IFERROR(INDEX('ISV Inventory'!$V$6:$V$255,MATCH(SMALL('ISV Inventory'!$AU$6:$AU$255,$A167),'ISV Inventory'!$AU$6:$AU$255,0)),""))</f>
        <v/>
      </c>
      <c r="C167" s="48" t="str">
        <f aca="false">IF($A167="","",IFERROR(INDEX('ISV Inventory'!$AA$6:$AA$255,MATCH(SMALL('ISV Inventory'!$AU$6:$AU$255,$A167),'ISV Inventory'!$AU$6:$AU$255,0)),""))</f>
        <v/>
      </c>
      <c r="D167" s="13" t="str">
        <f aca="false">IF($A167="","",IFERROR(INDEX('ISV Inventory'!$AB$6:$AB$255,MATCH(SMALL('ISV Inventory'!$AU$6:$AU$255,$A167),'ISV Inventory'!$AU$6:$AU$255,0))&amp;"",""))</f>
        <v/>
      </c>
      <c r="E167" s="13" t="str">
        <f aca="false">IF($A167="","",IFERROR(INDEX('ISV Inventory'!$B$6:$B$255,MATCH(SMALL('ISV Inventory'!$AU$6:$AU$255,$A167),'ISV Inventory'!$AU$6:$AU$255,0))&amp;"",""))</f>
        <v/>
      </c>
      <c r="F167" s="13" t="str">
        <f aca="false">IF($A167="","",IFERROR(INDEX('ISV Inventory'!$F$6:$F$255,MATCH(SMALL('ISV Inventory'!$AU$6:$AU$255,$A167),'ISV Inventory'!$AU$6:$AU$255,0))&amp;"",""))</f>
        <v/>
      </c>
      <c r="G167" s="49" t="str">
        <f aca="false">IF($A167="","",IFERROR(INDEX('ISV Inventory'!$R$6:$R$255,MATCH(SMALL('ISV Inventory'!$AU$6:$AU$255,$A167),'ISV Inventory'!$AU$6:$AU$255,0)),""))</f>
        <v/>
      </c>
      <c r="H167" s="13" t="str">
        <f aca="false">IF($A167="","",IFERROR(INDEX('ISV Inventory'!$X$6:$X$255,MATCH(SMALL('ISV Inventory'!$AU$6:$AU$255,$A167),'ISV Inventory'!$AU$6:$AU$255,0))&amp;"",""))</f>
        <v/>
      </c>
      <c r="I167" s="47" t="str">
        <f aca="false">IF($A167="","",IFERROR(INDEX('ISV Inventory'!$Z$6:$Z$255,MATCH(SMALL('ISV Inventory'!$AU$6:$AU$255,$A167),'ISV Inventory'!$AU$6:$AU$255,0)),""))</f>
        <v/>
      </c>
      <c r="J167" s="13" t="str">
        <f aca="false">IF($A167="","",IFERROR(INDEX('ISV Inventory'!$AG$6:$AG$255,MATCH(SMALL('ISV Inventory'!$AU$6:$AU$255,$A167),'ISV Inventory'!$AU$6:$AU$255,0))&amp;"",""))</f>
        <v/>
      </c>
      <c r="K167" s="13" t="str">
        <f aca="false">IF($A167="","",IFERROR(INDEX('ISV Inventory'!$AK$6:$AK$255,MATCH(SMALL('ISV Inventory'!$AU$6:$AU$255,$A167),'ISV Inventory'!$AU$6:$AU$255,0))&amp;"",""))</f>
        <v/>
      </c>
      <c r="L167" s="13" t="str">
        <f aca="false">IF($A167="","",IFERROR(INDEX('ISV Inventory'!$AR$6:$AR$255,MATCH(SMALL('ISV Inventory'!$AU$6:$AU$255,$A167),'ISV Inventory'!$AU$6:$AU$255,0))&amp;"",""))</f>
        <v/>
      </c>
      <c r="M167" s="13" t="str">
        <f aca="false">IF($A167="","",IFERROR(INDEX('ISV Inventory'!$AS$6:$AS$255,MATCH(SMALL('ISV Inventory'!$AU$6:$AU$255,$A167),'ISV Inventory'!$AU$6:$AU$255,0))&amp;"",""))</f>
        <v/>
      </c>
    </row>
    <row r="168" customFormat="false" ht="15" hidden="false" customHeight="false" outlineLevel="0" collapsed="false">
      <c r="A168" s="13" t="str">
        <f aca="false">IF(COUNT('ISV Inventory'!$AU$6:$AU$255)&lt;164,"",164)</f>
        <v/>
      </c>
      <c r="B168" s="47" t="str">
        <f aca="false">IF($A168="","",IFERROR(INDEX('ISV Inventory'!$V$6:$V$255,MATCH(SMALL('ISV Inventory'!$AU$6:$AU$255,$A168),'ISV Inventory'!$AU$6:$AU$255,0)),""))</f>
        <v/>
      </c>
      <c r="C168" s="48" t="str">
        <f aca="false">IF($A168="","",IFERROR(INDEX('ISV Inventory'!$AA$6:$AA$255,MATCH(SMALL('ISV Inventory'!$AU$6:$AU$255,$A168),'ISV Inventory'!$AU$6:$AU$255,0)),""))</f>
        <v/>
      </c>
      <c r="D168" s="13" t="str">
        <f aca="false">IF($A168="","",IFERROR(INDEX('ISV Inventory'!$AB$6:$AB$255,MATCH(SMALL('ISV Inventory'!$AU$6:$AU$255,$A168),'ISV Inventory'!$AU$6:$AU$255,0))&amp;"",""))</f>
        <v/>
      </c>
      <c r="E168" s="13" t="str">
        <f aca="false">IF($A168="","",IFERROR(INDEX('ISV Inventory'!$B$6:$B$255,MATCH(SMALL('ISV Inventory'!$AU$6:$AU$255,$A168),'ISV Inventory'!$AU$6:$AU$255,0))&amp;"",""))</f>
        <v/>
      </c>
      <c r="F168" s="13" t="str">
        <f aca="false">IF($A168="","",IFERROR(INDEX('ISV Inventory'!$F$6:$F$255,MATCH(SMALL('ISV Inventory'!$AU$6:$AU$255,$A168),'ISV Inventory'!$AU$6:$AU$255,0))&amp;"",""))</f>
        <v/>
      </c>
      <c r="G168" s="49" t="str">
        <f aca="false">IF($A168="","",IFERROR(INDEX('ISV Inventory'!$R$6:$R$255,MATCH(SMALL('ISV Inventory'!$AU$6:$AU$255,$A168),'ISV Inventory'!$AU$6:$AU$255,0)),""))</f>
        <v/>
      </c>
      <c r="H168" s="13" t="str">
        <f aca="false">IF($A168="","",IFERROR(INDEX('ISV Inventory'!$X$6:$X$255,MATCH(SMALL('ISV Inventory'!$AU$6:$AU$255,$A168),'ISV Inventory'!$AU$6:$AU$255,0))&amp;"",""))</f>
        <v/>
      </c>
      <c r="I168" s="47" t="str">
        <f aca="false">IF($A168="","",IFERROR(INDEX('ISV Inventory'!$Z$6:$Z$255,MATCH(SMALL('ISV Inventory'!$AU$6:$AU$255,$A168),'ISV Inventory'!$AU$6:$AU$255,0)),""))</f>
        <v/>
      </c>
      <c r="J168" s="13" t="str">
        <f aca="false">IF($A168="","",IFERROR(INDEX('ISV Inventory'!$AG$6:$AG$255,MATCH(SMALL('ISV Inventory'!$AU$6:$AU$255,$A168),'ISV Inventory'!$AU$6:$AU$255,0))&amp;"",""))</f>
        <v/>
      </c>
      <c r="K168" s="13" t="str">
        <f aca="false">IF($A168="","",IFERROR(INDEX('ISV Inventory'!$AK$6:$AK$255,MATCH(SMALL('ISV Inventory'!$AU$6:$AU$255,$A168),'ISV Inventory'!$AU$6:$AU$255,0))&amp;"",""))</f>
        <v/>
      </c>
      <c r="L168" s="13" t="str">
        <f aca="false">IF($A168="","",IFERROR(INDEX('ISV Inventory'!$AR$6:$AR$255,MATCH(SMALL('ISV Inventory'!$AU$6:$AU$255,$A168),'ISV Inventory'!$AU$6:$AU$255,0))&amp;"",""))</f>
        <v/>
      </c>
      <c r="M168" s="13" t="str">
        <f aca="false">IF($A168="","",IFERROR(INDEX('ISV Inventory'!$AS$6:$AS$255,MATCH(SMALL('ISV Inventory'!$AU$6:$AU$255,$A168),'ISV Inventory'!$AU$6:$AU$255,0))&amp;"",""))</f>
        <v/>
      </c>
    </row>
    <row r="169" customFormat="false" ht="15" hidden="false" customHeight="false" outlineLevel="0" collapsed="false">
      <c r="A169" s="13" t="str">
        <f aca="false">IF(COUNT('ISV Inventory'!$AU$6:$AU$255)&lt;165,"",165)</f>
        <v/>
      </c>
      <c r="B169" s="47" t="str">
        <f aca="false">IF($A169="","",IFERROR(INDEX('ISV Inventory'!$V$6:$V$255,MATCH(SMALL('ISV Inventory'!$AU$6:$AU$255,$A169),'ISV Inventory'!$AU$6:$AU$255,0)),""))</f>
        <v/>
      </c>
      <c r="C169" s="48" t="str">
        <f aca="false">IF($A169="","",IFERROR(INDEX('ISV Inventory'!$AA$6:$AA$255,MATCH(SMALL('ISV Inventory'!$AU$6:$AU$255,$A169),'ISV Inventory'!$AU$6:$AU$255,0)),""))</f>
        <v/>
      </c>
      <c r="D169" s="13" t="str">
        <f aca="false">IF($A169="","",IFERROR(INDEX('ISV Inventory'!$AB$6:$AB$255,MATCH(SMALL('ISV Inventory'!$AU$6:$AU$255,$A169),'ISV Inventory'!$AU$6:$AU$255,0))&amp;"",""))</f>
        <v/>
      </c>
      <c r="E169" s="13" t="str">
        <f aca="false">IF($A169="","",IFERROR(INDEX('ISV Inventory'!$B$6:$B$255,MATCH(SMALL('ISV Inventory'!$AU$6:$AU$255,$A169),'ISV Inventory'!$AU$6:$AU$255,0))&amp;"",""))</f>
        <v/>
      </c>
      <c r="F169" s="13" t="str">
        <f aca="false">IF($A169="","",IFERROR(INDEX('ISV Inventory'!$F$6:$F$255,MATCH(SMALL('ISV Inventory'!$AU$6:$AU$255,$A169),'ISV Inventory'!$AU$6:$AU$255,0))&amp;"",""))</f>
        <v/>
      </c>
      <c r="G169" s="49" t="str">
        <f aca="false">IF($A169="","",IFERROR(INDEX('ISV Inventory'!$R$6:$R$255,MATCH(SMALL('ISV Inventory'!$AU$6:$AU$255,$A169),'ISV Inventory'!$AU$6:$AU$255,0)),""))</f>
        <v/>
      </c>
      <c r="H169" s="13" t="str">
        <f aca="false">IF($A169="","",IFERROR(INDEX('ISV Inventory'!$X$6:$X$255,MATCH(SMALL('ISV Inventory'!$AU$6:$AU$255,$A169),'ISV Inventory'!$AU$6:$AU$255,0))&amp;"",""))</f>
        <v/>
      </c>
      <c r="I169" s="47" t="str">
        <f aca="false">IF($A169="","",IFERROR(INDEX('ISV Inventory'!$Z$6:$Z$255,MATCH(SMALL('ISV Inventory'!$AU$6:$AU$255,$A169),'ISV Inventory'!$AU$6:$AU$255,0)),""))</f>
        <v/>
      </c>
      <c r="J169" s="13" t="str">
        <f aca="false">IF($A169="","",IFERROR(INDEX('ISV Inventory'!$AG$6:$AG$255,MATCH(SMALL('ISV Inventory'!$AU$6:$AU$255,$A169),'ISV Inventory'!$AU$6:$AU$255,0))&amp;"",""))</f>
        <v/>
      </c>
      <c r="K169" s="13" t="str">
        <f aca="false">IF($A169="","",IFERROR(INDEX('ISV Inventory'!$AK$6:$AK$255,MATCH(SMALL('ISV Inventory'!$AU$6:$AU$255,$A169),'ISV Inventory'!$AU$6:$AU$255,0))&amp;"",""))</f>
        <v/>
      </c>
      <c r="L169" s="13" t="str">
        <f aca="false">IF($A169="","",IFERROR(INDEX('ISV Inventory'!$AR$6:$AR$255,MATCH(SMALL('ISV Inventory'!$AU$6:$AU$255,$A169),'ISV Inventory'!$AU$6:$AU$255,0))&amp;"",""))</f>
        <v/>
      </c>
      <c r="M169" s="13" t="str">
        <f aca="false">IF($A169="","",IFERROR(INDEX('ISV Inventory'!$AS$6:$AS$255,MATCH(SMALL('ISV Inventory'!$AU$6:$AU$255,$A169),'ISV Inventory'!$AU$6:$AU$255,0))&amp;"",""))</f>
        <v/>
      </c>
    </row>
    <row r="170" customFormat="false" ht="15" hidden="false" customHeight="false" outlineLevel="0" collapsed="false">
      <c r="A170" s="13" t="str">
        <f aca="false">IF(COUNT('ISV Inventory'!$AU$6:$AU$255)&lt;166,"",166)</f>
        <v/>
      </c>
      <c r="B170" s="47" t="str">
        <f aca="false">IF($A170="","",IFERROR(INDEX('ISV Inventory'!$V$6:$V$255,MATCH(SMALL('ISV Inventory'!$AU$6:$AU$255,$A170),'ISV Inventory'!$AU$6:$AU$255,0)),""))</f>
        <v/>
      </c>
      <c r="C170" s="48" t="str">
        <f aca="false">IF($A170="","",IFERROR(INDEX('ISV Inventory'!$AA$6:$AA$255,MATCH(SMALL('ISV Inventory'!$AU$6:$AU$255,$A170),'ISV Inventory'!$AU$6:$AU$255,0)),""))</f>
        <v/>
      </c>
      <c r="D170" s="13" t="str">
        <f aca="false">IF($A170="","",IFERROR(INDEX('ISV Inventory'!$AB$6:$AB$255,MATCH(SMALL('ISV Inventory'!$AU$6:$AU$255,$A170),'ISV Inventory'!$AU$6:$AU$255,0))&amp;"",""))</f>
        <v/>
      </c>
      <c r="E170" s="13" t="str">
        <f aca="false">IF($A170="","",IFERROR(INDEX('ISV Inventory'!$B$6:$B$255,MATCH(SMALL('ISV Inventory'!$AU$6:$AU$255,$A170),'ISV Inventory'!$AU$6:$AU$255,0))&amp;"",""))</f>
        <v/>
      </c>
      <c r="F170" s="13" t="str">
        <f aca="false">IF($A170="","",IFERROR(INDEX('ISV Inventory'!$F$6:$F$255,MATCH(SMALL('ISV Inventory'!$AU$6:$AU$255,$A170),'ISV Inventory'!$AU$6:$AU$255,0))&amp;"",""))</f>
        <v/>
      </c>
      <c r="G170" s="49" t="str">
        <f aca="false">IF($A170="","",IFERROR(INDEX('ISV Inventory'!$R$6:$R$255,MATCH(SMALL('ISV Inventory'!$AU$6:$AU$255,$A170),'ISV Inventory'!$AU$6:$AU$255,0)),""))</f>
        <v/>
      </c>
      <c r="H170" s="13" t="str">
        <f aca="false">IF($A170="","",IFERROR(INDEX('ISV Inventory'!$X$6:$X$255,MATCH(SMALL('ISV Inventory'!$AU$6:$AU$255,$A170),'ISV Inventory'!$AU$6:$AU$255,0))&amp;"",""))</f>
        <v/>
      </c>
      <c r="I170" s="47" t="str">
        <f aca="false">IF($A170="","",IFERROR(INDEX('ISV Inventory'!$Z$6:$Z$255,MATCH(SMALL('ISV Inventory'!$AU$6:$AU$255,$A170),'ISV Inventory'!$AU$6:$AU$255,0)),""))</f>
        <v/>
      </c>
      <c r="J170" s="13" t="str">
        <f aca="false">IF($A170="","",IFERROR(INDEX('ISV Inventory'!$AG$6:$AG$255,MATCH(SMALL('ISV Inventory'!$AU$6:$AU$255,$A170),'ISV Inventory'!$AU$6:$AU$255,0))&amp;"",""))</f>
        <v/>
      </c>
      <c r="K170" s="13" t="str">
        <f aca="false">IF($A170="","",IFERROR(INDEX('ISV Inventory'!$AK$6:$AK$255,MATCH(SMALL('ISV Inventory'!$AU$6:$AU$255,$A170),'ISV Inventory'!$AU$6:$AU$255,0))&amp;"",""))</f>
        <v/>
      </c>
      <c r="L170" s="13" t="str">
        <f aca="false">IF($A170="","",IFERROR(INDEX('ISV Inventory'!$AR$6:$AR$255,MATCH(SMALL('ISV Inventory'!$AU$6:$AU$255,$A170),'ISV Inventory'!$AU$6:$AU$255,0))&amp;"",""))</f>
        <v/>
      </c>
      <c r="M170" s="13" t="str">
        <f aca="false">IF($A170="","",IFERROR(INDEX('ISV Inventory'!$AS$6:$AS$255,MATCH(SMALL('ISV Inventory'!$AU$6:$AU$255,$A170),'ISV Inventory'!$AU$6:$AU$255,0))&amp;"",""))</f>
        <v/>
      </c>
    </row>
    <row r="171" customFormat="false" ht="15" hidden="false" customHeight="false" outlineLevel="0" collapsed="false">
      <c r="A171" s="13" t="str">
        <f aca="false">IF(COUNT('ISV Inventory'!$AU$6:$AU$255)&lt;167,"",167)</f>
        <v/>
      </c>
      <c r="B171" s="47" t="str">
        <f aca="false">IF($A171="","",IFERROR(INDEX('ISV Inventory'!$V$6:$V$255,MATCH(SMALL('ISV Inventory'!$AU$6:$AU$255,$A171),'ISV Inventory'!$AU$6:$AU$255,0)),""))</f>
        <v/>
      </c>
      <c r="C171" s="48" t="str">
        <f aca="false">IF($A171="","",IFERROR(INDEX('ISV Inventory'!$AA$6:$AA$255,MATCH(SMALL('ISV Inventory'!$AU$6:$AU$255,$A171),'ISV Inventory'!$AU$6:$AU$255,0)),""))</f>
        <v/>
      </c>
      <c r="D171" s="13" t="str">
        <f aca="false">IF($A171="","",IFERROR(INDEX('ISV Inventory'!$AB$6:$AB$255,MATCH(SMALL('ISV Inventory'!$AU$6:$AU$255,$A171),'ISV Inventory'!$AU$6:$AU$255,0))&amp;"",""))</f>
        <v/>
      </c>
      <c r="E171" s="13" t="str">
        <f aca="false">IF($A171="","",IFERROR(INDEX('ISV Inventory'!$B$6:$B$255,MATCH(SMALL('ISV Inventory'!$AU$6:$AU$255,$A171),'ISV Inventory'!$AU$6:$AU$255,0))&amp;"",""))</f>
        <v/>
      </c>
      <c r="F171" s="13" t="str">
        <f aca="false">IF($A171="","",IFERROR(INDEX('ISV Inventory'!$F$6:$F$255,MATCH(SMALL('ISV Inventory'!$AU$6:$AU$255,$A171),'ISV Inventory'!$AU$6:$AU$255,0))&amp;"",""))</f>
        <v/>
      </c>
      <c r="G171" s="49" t="str">
        <f aca="false">IF($A171="","",IFERROR(INDEX('ISV Inventory'!$R$6:$R$255,MATCH(SMALL('ISV Inventory'!$AU$6:$AU$255,$A171),'ISV Inventory'!$AU$6:$AU$255,0)),""))</f>
        <v/>
      </c>
      <c r="H171" s="13" t="str">
        <f aca="false">IF($A171="","",IFERROR(INDEX('ISV Inventory'!$X$6:$X$255,MATCH(SMALL('ISV Inventory'!$AU$6:$AU$255,$A171),'ISV Inventory'!$AU$6:$AU$255,0))&amp;"",""))</f>
        <v/>
      </c>
      <c r="I171" s="47" t="str">
        <f aca="false">IF($A171="","",IFERROR(INDEX('ISV Inventory'!$Z$6:$Z$255,MATCH(SMALL('ISV Inventory'!$AU$6:$AU$255,$A171),'ISV Inventory'!$AU$6:$AU$255,0)),""))</f>
        <v/>
      </c>
      <c r="J171" s="13" t="str">
        <f aca="false">IF($A171="","",IFERROR(INDEX('ISV Inventory'!$AG$6:$AG$255,MATCH(SMALL('ISV Inventory'!$AU$6:$AU$255,$A171),'ISV Inventory'!$AU$6:$AU$255,0))&amp;"",""))</f>
        <v/>
      </c>
      <c r="K171" s="13" t="str">
        <f aca="false">IF($A171="","",IFERROR(INDEX('ISV Inventory'!$AK$6:$AK$255,MATCH(SMALL('ISV Inventory'!$AU$6:$AU$255,$A171),'ISV Inventory'!$AU$6:$AU$255,0))&amp;"",""))</f>
        <v/>
      </c>
      <c r="L171" s="13" t="str">
        <f aca="false">IF($A171="","",IFERROR(INDEX('ISV Inventory'!$AR$6:$AR$255,MATCH(SMALL('ISV Inventory'!$AU$6:$AU$255,$A171),'ISV Inventory'!$AU$6:$AU$255,0))&amp;"",""))</f>
        <v/>
      </c>
      <c r="M171" s="13" t="str">
        <f aca="false">IF($A171="","",IFERROR(INDEX('ISV Inventory'!$AS$6:$AS$255,MATCH(SMALL('ISV Inventory'!$AU$6:$AU$255,$A171),'ISV Inventory'!$AU$6:$AU$255,0))&amp;"",""))</f>
        <v/>
      </c>
    </row>
    <row r="172" customFormat="false" ht="15" hidden="false" customHeight="false" outlineLevel="0" collapsed="false">
      <c r="A172" s="13" t="str">
        <f aca="false">IF(COUNT('ISV Inventory'!$AU$6:$AU$255)&lt;168,"",168)</f>
        <v/>
      </c>
      <c r="B172" s="47" t="str">
        <f aca="false">IF($A172="","",IFERROR(INDEX('ISV Inventory'!$V$6:$V$255,MATCH(SMALL('ISV Inventory'!$AU$6:$AU$255,$A172),'ISV Inventory'!$AU$6:$AU$255,0)),""))</f>
        <v/>
      </c>
      <c r="C172" s="48" t="str">
        <f aca="false">IF($A172="","",IFERROR(INDEX('ISV Inventory'!$AA$6:$AA$255,MATCH(SMALL('ISV Inventory'!$AU$6:$AU$255,$A172),'ISV Inventory'!$AU$6:$AU$255,0)),""))</f>
        <v/>
      </c>
      <c r="D172" s="13" t="str">
        <f aca="false">IF($A172="","",IFERROR(INDEX('ISV Inventory'!$AB$6:$AB$255,MATCH(SMALL('ISV Inventory'!$AU$6:$AU$255,$A172),'ISV Inventory'!$AU$6:$AU$255,0))&amp;"",""))</f>
        <v/>
      </c>
      <c r="E172" s="13" t="str">
        <f aca="false">IF($A172="","",IFERROR(INDEX('ISV Inventory'!$B$6:$B$255,MATCH(SMALL('ISV Inventory'!$AU$6:$AU$255,$A172),'ISV Inventory'!$AU$6:$AU$255,0))&amp;"",""))</f>
        <v/>
      </c>
      <c r="F172" s="13" t="str">
        <f aca="false">IF($A172="","",IFERROR(INDEX('ISV Inventory'!$F$6:$F$255,MATCH(SMALL('ISV Inventory'!$AU$6:$AU$255,$A172),'ISV Inventory'!$AU$6:$AU$255,0))&amp;"",""))</f>
        <v/>
      </c>
      <c r="G172" s="49" t="str">
        <f aca="false">IF($A172="","",IFERROR(INDEX('ISV Inventory'!$R$6:$R$255,MATCH(SMALL('ISV Inventory'!$AU$6:$AU$255,$A172),'ISV Inventory'!$AU$6:$AU$255,0)),""))</f>
        <v/>
      </c>
      <c r="H172" s="13" t="str">
        <f aca="false">IF($A172="","",IFERROR(INDEX('ISV Inventory'!$X$6:$X$255,MATCH(SMALL('ISV Inventory'!$AU$6:$AU$255,$A172),'ISV Inventory'!$AU$6:$AU$255,0))&amp;"",""))</f>
        <v/>
      </c>
      <c r="I172" s="47" t="str">
        <f aca="false">IF($A172="","",IFERROR(INDEX('ISV Inventory'!$Z$6:$Z$255,MATCH(SMALL('ISV Inventory'!$AU$6:$AU$255,$A172),'ISV Inventory'!$AU$6:$AU$255,0)),""))</f>
        <v/>
      </c>
      <c r="J172" s="13" t="str">
        <f aca="false">IF($A172="","",IFERROR(INDEX('ISV Inventory'!$AG$6:$AG$255,MATCH(SMALL('ISV Inventory'!$AU$6:$AU$255,$A172),'ISV Inventory'!$AU$6:$AU$255,0))&amp;"",""))</f>
        <v/>
      </c>
      <c r="K172" s="13" t="str">
        <f aca="false">IF($A172="","",IFERROR(INDEX('ISV Inventory'!$AK$6:$AK$255,MATCH(SMALL('ISV Inventory'!$AU$6:$AU$255,$A172),'ISV Inventory'!$AU$6:$AU$255,0))&amp;"",""))</f>
        <v/>
      </c>
      <c r="L172" s="13" t="str">
        <f aca="false">IF($A172="","",IFERROR(INDEX('ISV Inventory'!$AR$6:$AR$255,MATCH(SMALL('ISV Inventory'!$AU$6:$AU$255,$A172),'ISV Inventory'!$AU$6:$AU$255,0))&amp;"",""))</f>
        <v/>
      </c>
      <c r="M172" s="13" t="str">
        <f aca="false">IF($A172="","",IFERROR(INDEX('ISV Inventory'!$AS$6:$AS$255,MATCH(SMALL('ISV Inventory'!$AU$6:$AU$255,$A172),'ISV Inventory'!$AU$6:$AU$255,0))&amp;"",""))</f>
        <v/>
      </c>
    </row>
    <row r="173" customFormat="false" ht="15" hidden="false" customHeight="false" outlineLevel="0" collapsed="false">
      <c r="A173" s="13" t="str">
        <f aca="false">IF(COUNT('ISV Inventory'!$AU$6:$AU$255)&lt;169,"",169)</f>
        <v/>
      </c>
      <c r="B173" s="47" t="str">
        <f aca="false">IF($A173="","",IFERROR(INDEX('ISV Inventory'!$V$6:$V$255,MATCH(SMALL('ISV Inventory'!$AU$6:$AU$255,$A173),'ISV Inventory'!$AU$6:$AU$255,0)),""))</f>
        <v/>
      </c>
      <c r="C173" s="48" t="str">
        <f aca="false">IF($A173="","",IFERROR(INDEX('ISV Inventory'!$AA$6:$AA$255,MATCH(SMALL('ISV Inventory'!$AU$6:$AU$255,$A173),'ISV Inventory'!$AU$6:$AU$255,0)),""))</f>
        <v/>
      </c>
      <c r="D173" s="13" t="str">
        <f aca="false">IF($A173="","",IFERROR(INDEX('ISV Inventory'!$AB$6:$AB$255,MATCH(SMALL('ISV Inventory'!$AU$6:$AU$255,$A173),'ISV Inventory'!$AU$6:$AU$255,0))&amp;"",""))</f>
        <v/>
      </c>
      <c r="E173" s="13" t="str">
        <f aca="false">IF($A173="","",IFERROR(INDEX('ISV Inventory'!$B$6:$B$255,MATCH(SMALL('ISV Inventory'!$AU$6:$AU$255,$A173),'ISV Inventory'!$AU$6:$AU$255,0))&amp;"",""))</f>
        <v/>
      </c>
      <c r="F173" s="13" t="str">
        <f aca="false">IF($A173="","",IFERROR(INDEX('ISV Inventory'!$F$6:$F$255,MATCH(SMALL('ISV Inventory'!$AU$6:$AU$255,$A173),'ISV Inventory'!$AU$6:$AU$255,0))&amp;"",""))</f>
        <v/>
      </c>
      <c r="G173" s="49" t="str">
        <f aca="false">IF($A173="","",IFERROR(INDEX('ISV Inventory'!$R$6:$R$255,MATCH(SMALL('ISV Inventory'!$AU$6:$AU$255,$A173),'ISV Inventory'!$AU$6:$AU$255,0)),""))</f>
        <v/>
      </c>
      <c r="H173" s="13" t="str">
        <f aca="false">IF($A173="","",IFERROR(INDEX('ISV Inventory'!$X$6:$X$255,MATCH(SMALL('ISV Inventory'!$AU$6:$AU$255,$A173),'ISV Inventory'!$AU$6:$AU$255,0))&amp;"",""))</f>
        <v/>
      </c>
      <c r="I173" s="47" t="str">
        <f aca="false">IF($A173="","",IFERROR(INDEX('ISV Inventory'!$Z$6:$Z$255,MATCH(SMALL('ISV Inventory'!$AU$6:$AU$255,$A173),'ISV Inventory'!$AU$6:$AU$255,0)),""))</f>
        <v/>
      </c>
      <c r="J173" s="13" t="str">
        <f aca="false">IF($A173="","",IFERROR(INDEX('ISV Inventory'!$AG$6:$AG$255,MATCH(SMALL('ISV Inventory'!$AU$6:$AU$255,$A173),'ISV Inventory'!$AU$6:$AU$255,0))&amp;"",""))</f>
        <v/>
      </c>
      <c r="K173" s="13" t="str">
        <f aca="false">IF($A173="","",IFERROR(INDEX('ISV Inventory'!$AK$6:$AK$255,MATCH(SMALL('ISV Inventory'!$AU$6:$AU$255,$A173),'ISV Inventory'!$AU$6:$AU$255,0))&amp;"",""))</f>
        <v/>
      </c>
      <c r="L173" s="13" t="str">
        <f aca="false">IF($A173="","",IFERROR(INDEX('ISV Inventory'!$AR$6:$AR$255,MATCH(SMALL('ISV Inventory'!$AU$6:$AU$255,$A173),'ISV Inventory'!$AU$6:$AU$255,0))&amp;"",""))</f>
        <v/>
      </c>
      <c r="M173" s="13" t="str">
        <f aca="false">IF($A173="","",IFERROR(INDEX('ISV Inventory'!$AS$6:$AS$255,MATCH(SMALL('ISV Inventory'!$AU$6:$AU$255,$A173),'ISV Inventory'!$AU$6:$AU$255,0))&amp;"",""))</f>
        <v/>
      </c>
    </row>
    <row r="174" customFormat="false" ht="15" hidden="false" customHeight="false" outlineLevel="0" collapsed="false">
      <c r="A174" s="13" t="str">
        <f aca="false">IF(COUNT('ISV Inventory'!$AU$6:$AU$255)&lt;170,"",170)</f>
        <v/>
      </c>
      <c r="B174" s="47" t="str">
        <f aca="false">IF($A174="","",IFERROR(INDEX('ISV Inventory'!$V$6:$V$255,MATCH(SMALL('ISV Inventory'!$AU$6:$AU$255,$A174),'ISV Inventory'!$AU$6:$AU$255,0)),""))</f>
        <v/>
      </c>
      <c r="C174" s="48" t="str">
        <f aca="false">IF($A174="","",IFERROR(INDEX('ISV Inventory'!$AA$6:$AA$255,MATCH(SMALL('ISV Inventory'!$AU$6:$AU$255,$A174),'ISV Inventory'!$AU$6:$AU$255,0)),""))</f>
        <v/>
      </c>
      <c r="D174" s="13" t="str">
        <f aca="false">IF($A174="","",IFERROR(INDEX('ISV Inventory'!$AB$6:$AB$255,MATCH(SMALL('ISV Inventory'!$AU$6:$AU$255,$A174),'ISV Inventory'!$AU$6:$AU$255,0))&amp;"",""))</f>
        <v/>
      </c>
      <c r="E174" s="13" t="str">
        <f aca="false">IF($A174="","",IFERROR(INDEX('ISV Inventory'!$B$6:$B$255,MATCH(SMALL('ISV Inventory'!$AU$6:$AU$255,$A174),'ISV Inventory'!$AU$6:$AU$255,0))&amp;"",""))</f>
        <v/>
      </c>
      <c r="F174" s="13" t="str">
        <f aca="false">IF($A174="","",IFERROR(INDEX('ISV Inventory'!$F$6:$F$255,MATCH(SMALL('ISV Inventory'!$AU$6:$AU$255,$A174),'ISV Inventory'!$AU$6:$AU$255,0))&amp;"",""))</f>
        <v/>
      </c>
      <c r="G174" s="49" t="str">
        <f aca="false">IF($A174="","",IFERROR(INDEX('ISV Inventory'!$R$6:$R$255,MATCH(SMALL('ISV Inventory'!$AU$6:$AU$255,$A174),'ISV Inventory'!$AU$6:$AU$255,0)),""))</f>
        <v/>
      </c>
      <c r="H174" s="13" t="str">
        <f aca="false">IF($A174="","",IFERROR(INDEX('ISV Inventory'!$X$6:$X$255,MATCH(SMALL('ISV Inventory'!$AU$6:$AU$255,$A174),'ISV Inventory'!$AU$6:$AU$255,0))&amp;"",""))</f>
        <v/>
      </c>
      <c r="I174" s="47" t="str">
        <f aca="false">IF($A174="","",IFERROR(INDEX('ISV Inventory'!$Z$6:$Z$255,MATCH(SMALL('ISV Inventory'!$AU$6:$AU$255,$A174),'ISV Inventory'!$AU$6:$AU$255,0)),""))</f>
        <v/>
      </c>
      <c r="J174" s="13" t="str">
        <f aca="false">IF($A174="","",IFERROR(INDEX('ISV Inventory'!$AG$6:$AG$255,MATCH(SMALL('ISV Inventory'!$AU$6:$AU$255,$A174),'ISV Inventory'!$AU$6:$AU$255,0))&amp;"",""))</f>
        <v/>
      </c>
      <c r="K174" s="13" t="str">
        <f aca="false">IF($A174="","",IFERROR(INDEX('ISV Inventory'!$AK$6:$AK$255,MATCH(SMALL('ISV Inventory'!$AU$6:$AU$255,$A174),'ISV Inventory'!$AU$6:$AU$255,0))&amp;"",""))</f>
        <v/>
      </c>
      <c r="L174" s="13" t="str">
        <f aca="false">IF($A174="","",IFERROR(INDEX('ISV Inventory'!$AR$6:$AR$255,MATCH(SMALL('ISV Inventory'!$AU$6:$AU$255,$A174),'ISV Inventory'!$AU$6:$AU$255,0))&amp;"",""))</f>
        <v/>
      </c>
      <c r="M174" s="13" t="str">
        <f aca="false">IF($A174="","",IFERROR(INDEX('ISV Inventory'!$AS$6:$AS$255,MATCH(SMALL('ISV Inventory'!$AU$6:$AU$255,$A174),'ISV Inventory'!$AU$6:$AU$255,0))&amp;"",""))</f>
        <v/>
      </c>
    </row>
    <row r="175" customFormat="false" ht="15" hidden="false" customHeight="false" outlineLevel="0" collapsed="false">
      <c r="A175" s="13" t="str">
        <f aca="false">IF(COUNT('ISV Inventory'!$AU$6:$AU$255)&lt;171,"",171)</f>
        <v/>
      </c>
      <c r="B175" s="47" t="str">
        <f aca="false">IF($A175="","",IFERROR(INDEX('ISV Inventory'!$V$6:$V$255,MATCH(SMALL('ISV Inventory'!$AU$6:$AU$255,$A175),'ISV Inventory'!$AU$6:$AU$255,0)),""))</f>
        <v/>
      </c>
      <c r="C175" s="48" t="str">
        <f aca="false">IF($A175="","",IFERROR(INDEX('ISV Inventory'!$AA$6:$AA$255,MATCH(SMALL('ISV Inventory'!$AU$6:$AU$255,$A175),'ISV Inventory'!$AU$6:$AU$255,0)),""))</f>
        <v/>
      </c>
      <c r="D175" s="13" t="str">
        <f aca="false">IF($A175="","",IFERROR(INDEX('ISV Inventory'!$AB$6:$AB$255,MATCH(SMALL('ISV Inventory'!$AU$6:$AU$255,$A175),'ISV Inventory'!$AU$6:$AU$255,0))&amp;"",""))</f>
        <v/>
      </c>
      <c r="E175" s="13" t="str">
        <f aca="false">IF($A175="","",IFERROR(INDEX('ISV Inventory'!$B$6:$B$255,MATCH(SMALL('ISV Inventory'!$AU$6:$AU$255,$A175),'ISV Inventory'!$AU$6:$AU$255,0))&amp;"",""))</f>
        <v/>
      </c>
      <c r="F175" s="13" t="str">
        <f aca="false">IF($A175="","",IFERROR(INDEX('ISV Inventory'!$F$6:$F$255,MATCH(SMALL('ISV Inventory'!$AU$6:$AU$255,$A175),'ISV Inventory'!$AU$6:$AU$255,0))&amp;"",""))</f>
        <v/>
      </c>
      <c r="G175" s="49" t="str">
        <f aca="false">IF($A175="","",IFERROR(INDEX('ISV Inventory'!$R$6:$R$255,MATCH(SMALL('ISV Inventory'!$AU$6:$AU$255,$A175),'ISV Inventory'!$AU$6:$AU$255,0)),""))</f>
        <v/>
      </c>
      <c r="H175" s="13" t="str">
        <f aca="false">IF($A175="","",IFERROR(INDEX('ISV Inventory'!$X$6:$X$255,MATCH(SMALL('ISV Inventory'!$AU$6:$AU$255,$A175),'ISV Inventory'!$AU$6:$AU$255,0))&amp;"",""))</f>
        <v/>
      </c>
      <c r="I175" s="47" t="str">
        <f aca="false">IF($A175="","",IFERROR(INDEX('ISV Inventory'!$Z$6:$Z$255,MATCH(SMALL('ISV Inventory'!$AU$6:$AU$255,$A175),'ISV Inventory'!$AU$6:$AU$255,0)),""))</f>
        <v/>
      </c>
      <c r="J175" s="13" t="str">
        <f aca="false">IF($A175="","",IFERROR(INDEX('ISV Inventory'!$AG$6:$AG$255,MATCH(SMALL('ISV Inventory'!$AU$6:$AU$255,$A175),'ISV Inventory'!$AU$6:$AU$255,0))&amp;"",""))</f>
        <v/>
      </c>
      <c r="K175" s="13" t="str">
        <f aca="false">IF($A175="","",IFERROR(INDEX('ISV Inventory'!$AK$6:$AK$255,MATCH(SMALL('ISV Inventory'!$AU$6:$AU$255,$A175),'ISV Inventory'!$AU$6:$AU$255,0))&amp;"",""))</f>
        <v/>
      </c>
      <c r="L175" s="13" t="str">
        <f aca="false">IF($A175="","",IFERROR(INDEX('ISV Inventory'!$AR$6:$AR$255,MATCH(SMALL('ISV Inventory'!$AU$6:$AU$255,$A175),'ISV Inventory'!$AU$6:$AU$255,0))&amp;"",""))</f>
        <v/>
      </c>
      <c r="M175" s="13" t="str">
        <f aca="false">IF($A175="","",IFERROR(INDEX('ISV Inventory'!$AS$6:$AS$255,MATCH(SMALL('ISV Inventory'!$AU$6:$AU$255,$A175),'ISV Inventory'!$AU$6:$AU$255,0))&amp;"",""))</f>
        <v/>
      </c>
    </row>
    <row r="176" customFormat="false" ht="15" hidden="false" customHeight="false" outlineLevel="0" collapsed="false">
      <c r="A176" s="13" t="str">
        <f aca="false">IF(COUNT('ISV Inventory'!$AU$6:$AU$255)&lt;172,"",172)</f>
        <v/>
      </c>
      <c r="B176" s="47" t="str">
        <f aca="false">IF($A176="","",IFERROR(INDEX('ISV Inventory'!$V$6:$V$255,MATCH(SMALL('ISV Inventory'!$AU$6:$AU$255,$A176),'ISV Inventory'!$AU$6:$AU$255,0)),""))</f>
        <v/>
      </c>
      <c r="C176" s="48" t="str">
        <f aca="false">IF($A176="","",IFERROR(INDEX('ISV Inventory'!$AA$6:$AA$255,MATCH(SMALL('ISV Inventory'!$AU$6:$AU$255,$A176),'ISV Inventory'!$AU$6:$AU$255,0)),""))</f>
        <v/>
      </c>
      <c r="D176" s="13" t="str">
        <f aca="false">IF($A176="","",IFERROR(INDEX('ISV Inventory'!$AB$6:$AB$255,MATCH(SMALL('ISV Inventory'!$AU$6:$AU$255,$A176),'ISV Inventory'!$AU$6:$AU$255,0))&amp;"",""))</f>
        <v/>
      </c>
      <c r="E176" s="13" t="str">
        <f aca="false">IF($A176="","",IFERROR(INDEX('ISV Inventory'!$B$6:$B$255,MATCH(SMALL('ISV Inventory'!$AU$6:$AU$255,$A176),'ISV Inventory'!$AU$6:$AU$255,0))&amp;"",""))</f>
        <v/>
      </c>
      <c r="F176" s="13" t="str">
        <f aca="false">IF($A176="","",IFERROR(INDEX('ISV Inventory'!$F$6:$F$255,MATCH(SMALL('ISV Inventory'!$AU$6:$AU$255,$A176),'ISV Inventory'!$AU$6:$AU$255,0))&amp;"",""))</f>
        <v/>
      </c>
      <c r="G176" s="49" t="str">
        <f aca="false">IF($A176="","",IFERROR(INDEX('ISV Inventory'!$R$6:$R$255,MATCH(SMALL('ISV Inventory'!$AU$6:$AU$255,$A176),'ISV Inventory'!$AU$6:$AU$255,0)),""))</f>
        <v/>
      </c>
      <c r="H176" s="13" t="str">
        <f aca="false">IF($A176="","",IFERROR(INDEX('ISV Inventory'!$X$6:$X$255,MATCH(SMALL('ISV Inventory'!$AU$6:$AU$255,$A176),'ISV Inventory'!$AU$6:$AU$255,0))&amp;"",""))</f>
        <v/>
      </c>
      <c r="I176" s="47" t="str">
        <f aca="false">IF($A176="","",IFERROR(INDEX('ISV Inventory'!$Z$6:$Z$255,MATCH(SMALL('ISV Inventory'!$AU$6:$AU$255,$A176),'ISV Inventory'!$AU$6:$AU$255,0)),""))</f>
        <v/>
      </c>
      <c r="J176" s="13" t="str">
        <f aca="false">IF($A176="","",IFERROR(INDEX('ISV Inventory'!$AG$6:$AG$255,MATCH(SMALL('ISV Inventory'!$AU$6:$AU$255,$A176),'ISV Inventory'!$AU$6:$AU$255,0))&amp;"",""))</f>
        <v/>
      </c>
      <c r="K176" s="13" t="str">
        <f aca="false">IF($A176="","",IFERROR(INDEX('ISV Inventory'!$AK$6:$AK$255,MATCH(SMALL('ISV Inventory'!$AU$6:$AU$255,$A176),'ISV Inventory'!$AU$6:$AU$255,0))&amp;"",""))</f>
        <v/>
      </c>
      <c r="L176" s="13" t="str">
        <f aca="false">IF($A176="","",IFERROR(INDEX('ISV Inventory'!$AR$6:$AR$255,MATCH(SMALL('ISV Inventory'!$AU$6:$AU$255,$A176),'ISV Inventory'!$AU$6:$AU$255,0))&amp;"",""))</f>
        <v/>
      </c>
      <c r="M176" s="13" t="str">
        <f aca="false">IF($A176="","",IFERROR(INDEX('ISV Inventory'!$AS$6:$AS$255,MATCH(SMALL('ISV Inventory'!$AU$6:$AU$255,$A176),'ISV Inventory'!$AU$6:$AU$255,0))&amp;"",""))</f>
        <v/>
      </c>
    </row>
    <row r="177" customFormat="false" ht="15" hidden="false" customHeight="false" outlineLevel="0" collapsed="false">
      <c r="A177" s="13" t="str">
        <f aca="false">IF(COUNT('ISV Inventory'!$AU$6:$AU$255)&lt;173,"",173)</f>
        <v/>
      </c>
      <c r="B177" s="47" t="str">
        <f aca="false">IF($A177="","",IFERROR(INDEX('ISV Inventory'!$V$6:$V$255,MATCH(SMALL('ISV Inventory'!$AU$6:$AU$255,$A177),'ISV Inventory'!$AU$6:$AU$255,0)),""))</f>
        <v/>
      </c>
      <c r="C177" s="48" t="str">
        <f aca="false">IF($A177="","",IFERROR(INDEX('ISV Inventory'!$AA$6:$AA$255,MATCH(SMALL('ISV Inventory'!$AU$6:$AU$255,$A177),'ISV Inventory'!$AU$6:$AU$255,0)),""))</f>
        <v/>
      </c>
      <c r="D177" s="13" t="str">
        <f aca="false">IF($A177="","",IFERROR(INDEX('ISV Inventory'!$AB$6:$AB$255,MATCH(SMALL('ISV Inventory'!$AU$6:$AU$255,$A177),'ISV Inventory'!$AU$6:$AU$255,0))&amp;"",""))</f>
        <v/>
      </c>
      <c r="E177" s="13" t="str">
        <f aca="false">IF($A177="","",IFERROR(INDEX('ISV Inventory'!$B$6:$B$255,MATCH(SMALL('ISV Inventory'!$AU$6:$AU$255,$A177),'ISV Inventory'!$AU$6:$AU$255,0))&amp;"",""))</f>
        <v/>
      </c>
      <c r="F177" s="13" t="str">
        <f aca="false">IF($A177="","",IFERROR(INDEX('ISV Inventory'!$F$6:$F$255,MATCH(SMALL('ISV Inventory'!$AU$6:$AU$255,$A177),'ISV Inventory'!$AU$6:$AU$255,0))&amp;"",""))</f>
        <v/>
      </c>
      <c r="G177" s="49" t="str">
        <f aca="false">IF($A177="","",IFERROR(INDEX('ISV Inventory'!$R$6:$R$255,MATCH(SMALL('ISV Inventory'!$AU$6:$AU$255,$A177),'ISV Inventory'!$AU$6:$AU$255,0)),""))</f>
        <v/>
      </c>
      <c r="H177" s="13" t="str">
        <f aca="false">IF($A177="","",IFERROR(INDEX('ISV Inventory'!$X$6:$X$255,MATCH(SMALL('ISV Inventory'!$AU$6:$AU$255,$A177),'ISV Inventory'!$AU$6:$AU$255,0))&amp;"",""))</f>
        <v/>
      </c>
      <c r="I177" s="47" t="str">
        <f aca="false">IF($A177="","",IFERROR(INDEX('ISV Inventory'!$Z$6:$Z$255,MATCH(SMALL('ISV Inventory'!$AU$6:$AU$255,$A177),'ISV Inventory'!$AU$6:$AU$255,0)),""))</f>
        <v/>
      </c>
      <c r="J177" s="13" t="str">
        <f aca="false">IF($A177="","",IFERROR(INDEX('ISV Inventory'!$AG$6:$AG$255,MATCH(SMALL('ISV Inventory'!$AU$6:$AU$255,$A177),'ISV Inventory'!$AU$6:$AU$255,0))&amp;"",""))</f>
        <v/>
      </c>
      <c r="K177" s="13" t="str">
        <f aca="false">IF($A177="","",IFERROR(INDEX('ISV Inventory'!$AK$6:$AK$255,MATCH(SMALL('ISV Inventory'!$AU$6:$AU$255,$A177),'ISV Inventory'!$AU$6:$AU$255,0))&amp;"",""))</f>
        <v/>
      </c>
      <c r="L177" s="13" t="str">
        <f aca="false">IF($A177="","",IFERROR(INDEX('ISV Inventory'!$AR$6:$AR$255,MATCH(SMALL('ISV Inventory'!$AU$6:$AU$255,$A177),'ISV Inventory'!$AU$6:$AU$255,0))&amp;"",""))</f>
        <v/>
      </c>
      <c r="M177" s="13" t="str">
        <f aca="false">IF($A177="","",IFERROR(INDEX('ISV Inventory'!$AS$6:$AS$255,MATCH(SMALL('ISV Inventory'!$AU$6:$AU$255,$A177),'ISV Inventory'!$AU$6:$AU$255,0))&amp;"",""))</f>
        <v/>
      </c>
    </row>
    <row r="178" customFormat="false" ht="15" hidden="false" customHeight="false" outlineLevel="0" collapsed="false">
      <c r="A178" s="13" t="str">
        <f aca="false">IF(COUNT('ISV Inventory'!$AU$6:$AU$255)&lt;174,"",174)</f>
        <v/>
      </c>
      <c r="B178" s="47" t="str">
        <f aca="false">IF($A178="","",IFERROR(INDEX('ISV Inventory'!$V$6:$V$255,MATCH(SMALL('ISV Inventory'!$AU$6:$AU$255,$A178),'ISV Inventory'!$AU$6:$AU$255,0)),""))</f>
        <v/>
      </c>
      <c r="C178" s="48" t="str">
        <f aca="false">IF($A178="","",IFERROR(INDEX('ISV Inventory'!$AA$6:$AA$255,MATCH(SMALL('ISV Inventory'!$AU$6:$AU$255,$A178),'ISV Inventory'!$AU$6:$AU$255,0)),""))</f>
        <v/>
      </c>
      <c r="D178" s="13" t="str">
        <f aca="false">IF($A178="","",IFERROR(INDEX('ISV Inventory'!$AB$6:$AB$255,MATCH(SMALL('ISV Inventory'!$AU$6:$AU$255,$A178),'ISV Inventory'!$AU$6:$AU$255,0))&amp;"",""))</f>
        <v/>
      </c>
      <c r="E178" s="13" t="str">
        <f aca="false">IF($A178="","",IFERROR(INDEX('ISV Inventory'!$B$6:$B$255,MATCH(SMALL('ISV Inventory'!$AU$6:$AU$255,$A178),'ISV Inventory'!$AU$6:$AU$255,0))&amp;"",""))</f>
        <v/>
      </c>
      <c r="F178" s="13" t="str">
        <f aca="false">IF($A178="","",IFERROR(INDEX('ISV Inventory'!$F$6:$F$255,MATCH(SMALL('ISV Inventory'!$AU$6:$AU$255,$A178),'ISV Inventory'!$AU$6:$AU$255,0))&amp;"",""))</f>
        <v/>
      </c>
      <c r="G178" s="49" t="str">
        <f aca="false">IF($A178="","",IFERROR(INDEX('ISV Inventory'!$R$6:$R$255,MATCH(SMALL('ISV Inventory'!$AU$6:$AU$255,$A178),'ISV Inventory'!$AU$6:$AU$255,0)),""))</f>
        <v/>
      </c>
      <c r="H178" s="13" t="str">
        <f aca="false">IF($A178="","",IFERROR(INDEX('ISV Inventory'!$X$6:$X$255,MATCH(SMALL('ISV Inventory'!$AU$6:$AU$255,$A178),'ISV Inventory'!$AU$6:$AU$255,0))&amp;"",""))</f>
        <v/>
      </c>
      <c r="I178" s="47" t="str">
        <f aca="false">IF($A178="","",IFERROR(INDEX('ISV Inventory'!$Z$6:$Z$255,MATCH(SMALL('ISV Inventory'!$AU$6:$AU$255,$A178),'ISV Inventory'!$AU$6:$AU$255,0)),""))</f>
        <v/>
      </c>
      <c r="J178" s="13" t="str">
        <f aca="false">IF($A178="","",IFERROR(INDEX('ISV Inventory'!$AG$6:$AG$255,MATCH(SMALL('ISV Inventory'!$AU$6:$AU$255,$A178),'ISV Inventory'!$AU$6:$AU$255,0))&amp;"",""))</f>
        <v/>
      </c>
      <c r="K178" s="13" t="str">
        <f aca="false">IF($A178="","",IFERROR(INDEX('ISV Inventory'!$AK$6:$AK$255,MATCH(SMALL('ISV Inventory'!$AU$6:$AU$255,$A178),'ISV Inventory'!$AU$6:$AU$255,0))&amp;"",""))</f>
        <v/>
      </c>
      <c r="L178" s="13" t="str">
        <f aca="false">IF($A178="","",IFERROR(INDEX('ISV Inventory'!$AR$6:$AR$255,MATCH(SMALL('ISV Inventory'!$AU$6:$AU$255,$A178),'ISV Inventory'!$AU$6:$AU$255,0))&amp;"",""))</f>
        <v/>
      </c>
      <c r="M178" s="13" t="str">
        <f aca="false">IF($A178="","",IFERROR(INDEX('ISV Inventory'!$AS$6:$AS$255,MATCH(SMALL('ISV Inventory'!$AU$6:$AU$255,$A178),'ISV Inventory'!$AU$6:$AU$255,0))&amp;"",""))</f>
        <v/>
      </c>
    </row>
    <row r="179" customFormat="false" ht="15" hidden="false" customHeight="false" outlineLevel="0" collapsed="false">
      <c r="A179" s="13" t="str">
        <f aca="false">IF(COUNT('ISV Inventory'!$AU$6:$AU$255)&lt;175,"",175)</f>
        <v/>
      </c>
      <c r="B179" s="47" t="str">
        <f aca="false">IF($A179="","",IFERROR(INDEX('ISV Inventory'!$V$6:$V$255,MATCH(SMALL('ISV Inventory'!$AU$6:$AU$255,$A179),'ISV Inventory'!$AU$6:$AU$255,0)),""))</f>
        <v/>
      </c>
      <c r="C179" s="48" t="str">
        <f aca="false">IF($A179="","",IFERROR(INDEX('ISV Inventory'!$AA$6:$AA$255,MATCH(SMALL('ISV Inventory'!$AU$6:$AU$255,$A179),'ISV Inventory'!$AU$6:$AU$255,0)),""))</f>
        <v/>
      </c>
      <c r="D179" s="13" t="str">
        <f aca="false">IF($A179="","",IFERROR(INDEX('ISV Inventory'!$AB$6:$AB$255,MATCH(SMALL('ISV Inventory'!$AU$6:$AU$255,$A179),'ISV Inventory'!$AU$6:$AU$255,0))&amp;"",""))</f>
        <v/>
      </c>
      <c r="E179" s="13" t="str">
        <f aca="false">IF($A179="","",IFERROR(INDEX('ISV Inventory'!$B$6:$B$255,MATCH(SMALL('ISV Inventory'!$AU$6:$AU$255,$A179),'ISV Inventory'!$AU$6:$AU$255,0))&amp;"",""))</f>
        <v/>
      </c>
      <c r="F179" s="13" t="str">
        <f aca="false">IF($A179="","",IFERROR(INDEX('ISV Inventory'!$F$6:$F$255,MATCH(SMALL('ISV Inventory'!$AU$6:$AU$255,$A179),'ISV Inventory'!$AU$6:$AU$255,0))&amp;"",""))</f>
        <v/>
      </c>
      <c r="G179" s="49" t="str">
        <f aca="false">IF($A179="","",IFERROR(INDEX('ISV Inventory'!$R$6:$R$255,MATCH(SMALL('ISV Inventory'!$AU$6:$AU$255,$A179),'ISV Inventory'!$AU$6:$AU$255,0)),""))</f>
        <v/>
      </c>
      <c r="H179" s="13" t="str">
        <f aca="false">IF($A179="","",IFERROR(INDEX('ISV Inventory'!$X$6:$X$255,MATCH(SMALL('ISV Inventory'!$AU$6:$AU$255,$A179),'ISV Inventory'!$AU$6:$AU$255,0))&amp;"",""))</f>
        <v/>
      </c>
      <c r="I179" s="47" t="str">
        <f aca="false">IF($A179="","",IFERROR(INDEX('ISV Inventory'!$Z$6:$Z$255,MATCH(SMALL('ISV Inventory'!$AU$6:$AU$255,$A179),'ISV Inventory'!$AU$6:$AU$255,0)),""))</f>
        <v/>
      </c>
      <c r="J179" s="13" t="str">
        <f aca="false">IF($A179="","",IFERROR(INDEX('ISV Inventory'!$AG$6:$AG$255,MATCH(SMALL('ISV Inventory'!$AU$6:$AU$255,$A179),'ISV Inventory'!$AU$6:$AU$255,0))&amp;"",""))</f>
        <v/>
      </c>
      <c r="K179" s="13" t="str">
        <f aca="false">IF($A179="","",IFERROR(INDEX('ISV Inventory'!$AK$6:$AK$255,MATCH(SMALL('ISV Inventory'!$AU$6:$AU$255,$A179),'ISV Inventory'!$AU$6:$AU$255,0))&amp;"",""))</f>
        <v/>
      </c>
      <c r="L179" s="13" t="str">
        <f aca="false">IF($A179="","",IFERROR(INDEX('ISV Inventory'!$AR$6:$AR$255,MATCH(SMALL('ISV Inventory'!$AU$6:$AU$255,$A179),'ISV Inventory'!$AU$6:$AU$255,0))&amp;"",""))</f>
        <v/>
      </c>
      <c r="M179" s="13" t="str">
        <f aca="false">IF($A179="","",IFERROR(INDEX('ISV Inventory'!$AS$6:$AS$255,MATCH(SMALL('ISV Inventory'!$AU$6:$AU$255,$A179),'ISV Inventory'!$AU$6:$AU$255,0))&amp;"",""))</f>
        <v/>
      </c>
    </row>
    <row r="180" customFormat="false" ht="15" hidden="false" customHeight="false" outlineLevel="0" collapsed="false">
      <c r="A180" s="13" t="str">
        <f aca="false">IF(COUNT('ISV Inventory'!$AU$6:$AU$255)&lt;176,"",176)</f>
        <v/>
      </c>
      <c r="B180" s="47" t="str">
        <f aca="false">IF($A180="","",IFERROR(INDEX('ISV Inventory'!$V$6:$V$255,MATCH(SMALL('ISV Inventory'!$AU$6:$AU$255,$A180),'ISV Inventory'!$AU$6:$AU$255,0)),""))</f>
        <v/>
      </c>
      <c r="C180" s="48" t="str">
        <f aca="false">IF($A180="","",IFERROR(INDEX('ISV Inventory'!$AA$6:$AA$255,MATCH(SMALL('ISV Inventory'!$AU$6:$AU$255,$A180),'ISV Inventory'!$AU$6:$AU$255,0)),""))</f>
        <v/>
      </c>
      <c r="D180" s="13" t="str">
        <f aca="false">IF($A180="","",IFERROR(INDEX('ISV Inventory'!$AB$6:$AB$255,MATCH(SMALL('ISV Inventory'!$AU$6:$AU$255,$A180),'ISV Inventory'!$AU$6:$AU$255,0))&amp;"",""))</f>
        <v/>
      </c>
      <c r="E180" s="13" t="str">
        <f aca="false">IF($A180="","",IFERROR(INDEX('ISV Inventory'!$B$6:$B$255,MATCH(SMALL('ISV Inventory'!$AU$6:$AU$255,$A180),'ISV Inventory'!$AU$6:$AU$255,0))&amp;"",""))</f>
        <v/>
      </c>
      <c r="F180" s="13" t="str">
        <f aca="false">IF($A180="","",IFERROR(INDEX('ISV Inventory'!$F$6:$F$255,MATCH(SMALL('ISV Inventory'!$AU$6:$AU$255,$A180),'ISV Inventory'!$AU$6:$AU$255,0))&amp;"",""))</f>
        <v/>
      </c>
      <c r="G180" s="49" t="str">
        <f aca="false">IF($A180="","",IFERROR(INDEX('ISV Inventory'!$R$6:$R$255,MATCH(SMALL('ISV Inventory'!$AU$6:$AU$255,$A180),'ISV Inventory'!$AU$6:$AU$255,0)),""))</f>
        <v/>
      </c>
      <c r="H180" s="13" t="str">
        <f aca="false">IF($A180="","",IFERROR(INDEX('ISV Inventory'!$X$6:$X$255,MATCH(SMALL('ISV Inventory'!$AU$6:$AU$255,$A180),'ISV Inventory'!$AU$6:$AU$255,0))&amp;"",""))</f>
        <v/>
      </c>
      <c r="I180" s="47" t="str">
        <f aca="false">IF($A180="","",IFERROR(INDEX('ISV Inventory'!$Z$6:$Z$255,MATCH(SMALL('ISV Inventory'!$AU$6:$AU$255,$A180),'ISV Inventory'!$AU$6:$AU$255,0)),""))</f>
        <v/>
      </c>
      <c r="J180" s="13" t="str">
        <f aca="false">IF($A180="","",IFERROR(INDEX('ISV Inventory'!$AG$6:$AG$255,MATCH(SMALL('ISV Inventory'!$AU$6:$AU$255,$A180),'ISV Inventory'!$AU$6:$AU$255,0))&amp;"",""))</f>
        <v/>
      </c>
      <c r="K180" s="13" t="str">
        <f aca="false">IF($A180="","",IFERROR(INDEX('ISV Inventory'!$AK$6:$AK$255,MATCH(SMALL('ISV Inventory'!$AU$6:$AU$255,$A180),'ISV Inventory'!$AU$6:$AU$255,0))&amp;"",""))</f>
        <v/>
      </c>
      <c r="L180" s="13" t="str">
        <f aca="false">IF($A180="","",IFERROR(INDEX('ISV Inventory'!$AR$6:$AR$255,MATCH(SMALL('ISV Inventory'!$AU$6:$AU$255,$A180),'ISV Inventory'!$AU$6:$AU$255,0))&amp;"",""))</f>
        <v/>
      </c>
      <c r="M180" s="13" t="str">
        <f aca="false">IF($A180="","",IFERROR(INDEX('ISV Inventory'!$AS$6:$AS$255,MATCH(SMALL('ISV Inventory'!$AU$6:$AU$255,$A180),'ISV Inventory'!$AU$6:$AU$255,0))&amp;"",""))</f>
        <v/>
      </c>
    </row>
    <row r="181" customFormat="false" ht="15" hidden="false" customHeight="false" outlineLevel="0" collapsed="false">
      <c r="A181" s="13" t="str">
        <f aca="false">IF(COUNT('ISV Inventory'!$AU$6:$AU$255)&lt;177,"",177)</f>
        <v/>
      </c>
      <c r="B181" s="47" t="str">
        <f aca="false">IF($A181="","",IFERROR(INDEX('ISV Inventory'!$V$6:$V$255,MATCH(SMALL('ISV Inventory'!$AU$6:$AU$255,$A181),'ISV Inventory'!$AU$6:$AU$255,0)),""))</f>
        <v/>
      </c>
      <c r="C181" s="48" t="str">
        <f aca="false">IF($A181="","",IFERROR(INDEX('ISV Inventory'!$AA$6:$AA$255,MATCH(SMALL('ISV Inventory'!$AU$6:$AU$255,$A181),'ISV Inventory'!$AU$6:$AU$255,0)),""))</f>
        <v/>
      </c>
      <c r="D181" s="13" t="str">
        <f aca="false">IF($A181="","",IFERROR(INDEX('ISV Inventory'!$AB$6:$AB$255,MATCH(SMALL('ISV Inventory'!$AU$6:$AU$255,$A181),'ISV Inventory'!$AU$6:$AU$255,0))&amp;"",""))</f>
        <v/>
      </c>
      <c r="E181" s="13" t="str">
        <f aca="false">IF($A181="","",IFERROR(INDEX('ISV Inventory'!$B$6:$B$255,MATCH(SMALL('ISV Inventory'!$AU$6:$AU$255,$A181),'ISV Inventory'!$AU$6:$AU$255,0))&amp;"",""))</f>
        <v/>
      </c>
      <c r="F181" s="13" t="str">
        <f aca="false">IF($A181="","",IFERROR(INDEX('ISV Inventory'!$F$6:$F$255,MATCH(SMALL('ISV Inventory'!$AU$6:$AU$255,$A181),'ISV Inventory'!$AU$6:$AU$255,0))&amp;"",""))</f>
        <v/>
      </c>
      <c r="G181" s="49" t="str">
        <f aca="false">IF($A181="","",IFERROR(INDEX('ISV Inventory'!$R$6:$R$255,MATCH(SMALL('ISV Inventory'!$AU$6:$AU$255,$A181),'ISV Inventory'!$AU$6:$AU$255,0)),""))</f>
        <v/>
      </c>
      <c r="H181" s="13" t="str">
        <f aca="false">IF($A181="","",IFERROR(INDEX('ISV Inventory'!$X$6:$X$255,MATCH(SMALL('ISV Inventory'!$AU$6:$AU$255,$A181),'ISV Inventory'!$AU$6:$AU$255,0))&amp;"",""))</f>
        <v/>
      </c>
      <c r="I181" s="47" t="str">
        <f aca="false">IF($A181="","",IFERROR(INDEX('ISV Inventory'!$Z$6:$Z$255,MATCH(SMALL('ISV Inventory'!$AU$6:$AU$255,$A181),'ISV Inventory'!$AU$6:$AU$255,0)),""))</f>
        <v/>
      </c>
      <c r="J181" s="13" t="str">
        <f aca="false">IF($A181="","",IFERROR(INDEX('ISV Inventory'!$AG$6:$AG$255,MATCH(SMALL('ISV Inventory'!$AU$6:$AU$255,$A181),'ISV Inventory'!$AU$6:$AU$255,0))&amp;"",""))</f>
        <v/>
      </c>
      <c r="K181" s="13" t="str">
        <f aca="false">IF($A181="","",IFERROR(INDEX('ISV Inventory'!$AK$6:$AK$255,MATCH(SMALL('ISV Inventory'!$AU$6:$AU$255,$A181),'ISV Inventory'!$AU$6:$AU$255,0))&amp;"",""))</f>
        <v/>
      </c>
      <c r="L181" s="13" t="str">
        <f aca="false">IF($A181="","",IFERROR(INDEX('ISV Inventory'!$AR$6:$AR$255,MATCH(SMALL('ISV Inventory'!$AU$6:$AU$255,$A181),'ISV Inventory'!$AU$6:$AU$255,0))&amp;"",""))</f>
        <v/>
      </c>
      <c r="M181" s="13" t="str">
        <f aca="false">IF($A181="","",IFERROR(INDEX('ISV Inventory'!$AS$6:$AS$255,MATCH(SMALL('ISV Inventory'!$AU$6:$AU$255,$A181),'ISV Inventory'!$AU$6:$AU$255,0))&amp;"",""))</f>
        <v/>
      </c>
    </row>
    <row r="182" customFormat="false" ht="15" hidden="false" customHeight="false" outlineLevel="0" collapsed="false">
      <c r="A182" s="13" t="str">
        <f aca="false">IF(COUNT('ISV Inventory'!$AU$6:$AU$255)&lt;178,"",178)</f>
        <v/>
      </c>
      <c r="B182" s="47" t="str">
        <f aca="false">IF($A182="","",IFERROR(INDEX('ISV Inventory'!$V$6:$V$255,MATCH(SMALL('ISV Inventory'!$AU$6:$AU$255,$A182),'ISV Inventory'!$AU$6:$AU$255,0)),""))</f>
        <v/>
      </c>
      <c r="C182" s="48" t="str">
        <f aca="false">IF($A182="","",IFERROR(INDEX('ISV Inventory'!$AA$6:$AA$255,MATCH(SMALL('ISV Inventory'!$AU$6:$AU$255,$A182),'ISV Inventory'!$AU$6:$AU$255,0)),""))</f>
        <v/>
      </c>
      <c r="D182" s="13" t="str">
        <f aca="false">IF($A182="","",IFERROR(INDEX('ISV Inventory'!$AB$6:$AB$255,MATCH(SMALL('ISV Inventory'!$AU$6:$AU$255,$A182),'ISV Inventory'!$AU$6:$AU$255,0))&amp;"",""))</f>
        <v/>
      </c>
      <c r="E182" s="13" t="str">
        <f aca="false">IF($A182="","",IFERROR(INDEX('ISV Inventory'!$B$6:$B$255,MATCH(SMALL('ISV Inventory'!$AU$6:$AU$255,$A182),'ISV Inventory'!$AU$6:$AU$255,0))&amp;"",""))</f>
        <v/>
      </c>
      <c r="F182" s="13" t="str">
        <f aca="false">IF($A182="","",IFERROR(INDEX('ISV Inventory'!$F$6:$F$255,MATCH(SMALL('ISV Inventory'!$AU$6:$AU$255,$A182),'ISV Inventory'!$AU$6:$AU$255,0))&amp;"",""))</f>
        <v/>
      </c>
      <c r="G182" s="49" t="str">
        <f aca="false">IF($A182="","",IFERROR(INDEX('ISV Inventory'!$R$6:$R$255,MATCH(SMALL('ISV Inventory'!$AU$6:$AU$255,$A182),'ISV Inventory'!$AU$6:$AU$255,0)),""))</f>
        <v/>
      </c>
      <c r="H182" s="13" t="str">
        <f aca="false">IF($A182="","",IFERROR(INDEX('ISV Inventory'!$X$6:$X$255,MATCH(SMALL('ISV Inventory'!$AU$6:$AU$255,$A182),'ISV Inventory'!$AU$6:$AU$255,0))&amp;"",""))</f>
        <v/>
      </c>
      <c r="I182" s="47" t="str">
        <f aca="false">IF($A182="","",IFERROR(INDEX('ISV Inventory'!$Z$6:$Z$255,MATCH(SMALL('ISV Inventory'!$AU$6:$AU$255,$A182),'ISV Inventory'!$AU$6:$AU$255,0)),""))</f>
        <v/>
      </c>
      <c r="J182" s="13" t="str">
        <f aca="false">IF($A182="","",IFERROR(INDEX('ISV Inventory'!$AG$6:$AG$255,MATCH(SMALL('ISV Inventory'!$AU$6:$AU$255,$A182),'ISV Inventory'!$AU$6:$AU$255,0))&amp;"",""))</f>
        <v/>
      </c>
      <c r="K182" s="13" t="str">
        <f aca="false">IF($A182="","",IFERROR(INDEX('ISV Inventory'!$AK$6:$AK$255,MATCH(SMALL('ISV Inventory'!$AU$6:$AU$255,$A182),'ISV Inventory'!$AU$6:$AU$255,0))&amp;"",""))</f>
        <v/>
      </c>
      <c r="L182" s="13" t="str">
        <f aca="false">IF($A182="","",IFERROR(INDEX('ISV Inventory'!$AR$6:$AR$255,MATCH(SMALL('ISV Inventory'!$AU$6:$AU$255,$A182),'ISV Inventory'!$AU$6:$AU$255,0))&amp;"",""))</f>
        <v/>
      </c>
      <c r="M182" s="13" t="str">
        <f aca="false">IF($A182="","",IFERROR(INDEX('ISV Inventory'!$AS$6:$AS$255,MATCH(SMALL('ISV Inventory'!$AU$6:$AU$255,$A182),'ISV Inventory'!$AU$6:$AU$255,0))&amp;"",""))</f>
        <v/>
      </c>
    </row>
    <row r="183" customFormat="false" ht="15" hidden="false" customHeight="false" outlineLevel="0" collapsed="false">
      <c r="A183" s="13" t="str">
        <f aca="false">IF(COUNT('ISV Inventory'!$AU$6:$AU$255)&lt;179,"",179)</f>
        <v/>
      </c>
      <c r="B183" s="47" t="str">
        <f aca="false">IF($A183="","",IFERROR(INDEX('ISV Inventory'!$V$6:$V$255,MATCH(SMALL('ISV Inventory'!$AU$6:$AU$255,$A183),'ISV Inventory'!$AU$6:$AU$255,0)),""))</f>
        <v/>
      </c>
      <c r="C183" s="48" t="str">
        <f aca="false">IF($A183="","",IFERROR(INDEX('ISV Inventory'!$AA$6:$AA$255,MATCH(SMALL('ISV Inventory'!$AU$6:$AU$255,$A183),'ISV Inventory'!$AU$6:$AU$255,0)),""))</f>
        <v/>
      </c>
      <c r="D183" s="13" t="str">
        <f aca="false">IF($A183="","",IFERROR(INDEX('ISV Inventory'!$AB$6:$AB$255,MATCH(SMALL('ISV Inventory'!$AU$6:$AU$255,$A183),'ISV Inventory'!$AU$6:$AU$255,0))&amp;"",""))</f>
        <v/>
      </c>
      <c r="E183" s="13" t="str">
        <f aca="false">IF($A183="","",IFERROR(INDEX('ISV Inventory'!$B$6:$B$255,MATCH(SMALL('ISV Inventory'!$AU$6:$AU$255,$A183),'ISV Inventory'!$AU$6:$AU$255,0))&amp;"",""))</f>
        <v/>
      </c>
      <c r="F183" s="13" t="str">
        <f aca="false">IF($A183="","",IFERROR(INDEX('ISV Inventory'!$F$6:$F$255,MATCH(SMALL('ISV Inventory'!$AU$6:$AU$255,$A183),'ISV Inventory'!$AU$6:$AU$255,0))&amp;"",""))</f>
        <v/>
      </c>
      <c r="G183" s="49" t="str">
        <f aca="false">IF($A183="","",IFERROR(INDEX('ISV Inventory'!$R$6:$R$255,MATCH(SMALL('ISV Inventory'!$AU$6:$AU$255,$A183),'ISV Inventory'!$AU$6:$AU$255,0)),""))</f>
        <v/>
      </c>
      <c r="H183" s="13" t="str">
        <f aca="false">IF($A183="","",IFERROR(INDEX('ISV Inventory'!$X$6:$X$255,MATCH(SMALL('ISV Inventory'!$AU$6:$AU$255,$A183),'ISV Inventory'!$AU$6:$AU$255,0))&amp;"",""))</f>
        <v/>
      </c>
      <c r="I183" s="47" t="str">
        <f aca="false">IF($A183="","",IFERROR(INDEX('ISV Inventory'!$Z$6:$Z$255,MATCH(SMALL('ISV Inventory'!$AU$6:$AU$255,$A183),'ISV Inventory'!$AU$6:$AU$255,0)),""))</f>
        <v/>
      </c>
      <c r="J183" s="13" t="str">
        <f aca="false">IF($A183="","",IFERROR(INDEX('ISV Inventory'!$AG$6:$AG$255,MATCH(SMALL('ISV Inventory'!$AU$6:$AU$255,$A183),'ISV Inventory'!$AU$6:$AU$255,0))&amp;"",""))</f>
        <v/>
      </c>
      <c r="K183" s="13" t="str">
        <f aca="false">IF($A183="","",IFERROR(INDEX('ISV Inventory'!$AK$6:$AK$255,MATCH(SMALL('ISV Inventory'!$AU$6:$AU$255,$A183),'ISV Inventory'!$AU$6:$AU$255,0))&amp;"",""))</f>
        <v/>
      </c>
      <c r="L183" s="13" t="str">
        <f aca="false">IF($A183="","",IFERROR(INDEX('ISV Inventory'!$AR$6:$AR$255,MATCH(SMALL('ISV Inventory'!$AU$6:$AU$255,$A183),'ISV Inventory'!$AU$6:$AU$255,0))&amp;"",""))</f>
        <v/>
      </c>
      <c r="M183" s="13" t="str">
        <f aca="false">IF($A183="","",IFERROR(INDEX('ISV Inventory'!$AS$6:$AS$255,MATCH(SMALL('ISV Inventory'!$AU$6:$AU$255,$A183),'ISV Inventory'!$AU$6:$AU$255,0))&amp;"",""))</f>
        <v/>
      </c>
    </row>
    <row r="184" customFormat="false" ht="15" hidden="false" customHeight="false" outlineLevel="0" collapsed="false">
      <c r="A184" s="13" t="str">
        <f aca="false">IF(COUNT('ISV Inventory'!$AU$6:$AU$255)&lt;180,"",180)</f>
        <v/>
      </c>
      <c r="B184" s="47" t="str">
        <f aca="false">IF($A184="","",IFERROR(INDEX('ISV Inventory'!$V$6:$V$255,MATCH(SMALL('ISV Inventory'!$AU$6:$AU$255,$A184),'ISV Inventory'!$AU$6:$AU$255,0)),""))</f>
        <v/>
      </c>
      <c r="C184" s="48" t="str">
        <f aca="false">IF($A184="","",IFERROR(INDEX('ISV Inventory'!$AA$6:$AA$255,MATCH(SMALL('ISV Inventory'!$AU$6:$AU$255,$A184),'ISV Inventory'!$AU$6:$AU$255,0)),""))</f>
        <v/>
      </c>
      <c r="D184" s="13" t="str">
        <f aca="false">IF($A184="","",IFERROR(INDEX('ISV Inventory'!$AB$6:$AB$255,MATCH(SMALL('ISV Inventory'!$AU$6:$AU$255,$A184),'ISV Inventory'!$AU$6:$AU$255,0))&amp;"",""))</f>
        <v/>
      </c>
      <c r="E184" s="13" t="str">
        <f aca="false">IF($A184="","",IFERROR(INDEX('ISV Inventory'!$B$6:$B$255,MATCH(SMALL('ISV Inventory'!$AU$6:$AU$255,$A184),'ISV Inventory'!$AU$6:$AU$255,0))&amp;"",""))</f>
        <v/>
      </c>
      <c r="F184" s="13" t="str">
        <f aca="false">IF($A184="","",IFERROR(INDEX('ISV Inventory'!$F$6:$F$255,MATCH(SMALL('ISV Inventory'!$AU$6:$AU$255,$A184),'ISV Inventory'!$AU$6:$AU$255,0))&amp;"",""))</f>
        <v/>
      </c>
      <c r="G184" s="49" t="str">
        <f aca="false">IF($A184="","",IFERROR(INDEX('ISV Inventory'!$R$6:$R$255,MATCH(SMALL('ISV Inventory'!$AU$6:$AU$255,$A184),'ISV Inventory'!$AU$6:$AU$255,0)),""))</f>
        <v/>
      </c>
      <c r="H184" s="13" t="str">
        <f aca="false">IF($A184="","",IFERROR(INDEX('ISV Inventory'!$X$6:$X$255,MATCH(SMALL('ISV Inventory'!$AU$6:$AU$255,$A184),'ISV Inventory'!$AU$6:$AU$255,0))&amp;"",""))</f>
        <v/>
      </c>
      <c r="I184" s="47" t="str">
        <f aca="false">IF($A184="","",IFERROR(INDEX('ISV Inventory'!$Z$6:$Z$255,MATCH(SMALL('ISV Inventory'!$AU$6:$AU$255,$A184),'ISV Inventory'!$AU$6:$AU$255,0)),""))</f>
        <v/>
      </c>
      <c r="J184" s="13" t="str">
        <f aca="false">IF($A184="","",IFERROR(INDEX('ISV Inventory'!$AG$6:$AG$255,MATCH(SMALL('ISV Inventory'!$AU$6:$AU$255,$A184),'ISV Inventory'!$AU$6:$AU$255,0))&amp;"",""))</f>
        <v/>
      </c>
      <c r="K184" s="13" t="str">
        <f aca="false">IF($A184="","",IFERROR(INDEX('ISV Inventory'!$AK$6:$AK$255,MATCH(SMALL('ISV Inventory'!$AU$6:$AU$255,$A184),'ISV Inventory'!$AU$6:$AU$255,0))&amp;"",""))</f>
        <v/>
      </c>
      <c r="L184" s="13" t="str">
        <f aca="false">IF($A184="","",IFERROR(INDEX('ISV Inventory'!$AR$6:$AR$255,MATCH(SMALL('ISV Inventory'!$AU$6:$AU$255,$A184),'ISV Inventory'!$AU$6:$AU$255,0))&amp;"",""))</f>
        <v/>
      </c>
      <c r="M184" s="13" t="str">
        <f aca="false">IF($A184="","",IFERROR(INDEX('ISV Inventory'!$AS$6:$AS$255,MATCH(SMALL('ISV Inventory'!$AU$6:$AU$255,$A184),'ISV Inventory'!$AU$6:$AU$255,0))&amp;"",""))</f>
        <v/>
      </c>
    </row>
    <row r="185" customFormat="false" ht="15" hidden="false" customHeight="false" outlineLevel="0" collapsed="false">
      <c r="A185" s="13" t="str">
        <f aca="false">IF(COUNT('ISV Inventory'!$AU$6:$AU$255)&lt;181,"",181)</f>
        <v/>
      </c>
      <c r="B185" s="47" t="str">
        <f aca="false">IF($A185="","",IFERROR(INDEX('ISV Inventory'!$V$6:$V$255,MATCH(SMALL('ISV Inventory'!$AU$6:$AU$255,$A185),'ISV Inventory'!$AU$6:$AU$255,0)),""))</f>
        <v/>
      </c>
      <c r="C185" s="48" t="str">
        <f aca="false">IF($A185="","",IFERROR(INDEX('ISV Inventory'!$AA$6:$AA$255,MATCH(SMALL('ISV Inventory'!$AU$6:$AU$255,$A185),'ISV Inventory'!$AU$6:$AU$255,0)),""))</f>
        <v/>
      </c>
      <c r="D185" s="13" t="str">
        <f aca="false">IF($A185="","",IFERROR(INDEX('ISV Inventory'!$AB$6:$AB$255,MATCH(SMALL('ISV Inventory'!$AU$6:$AU$255,$A185),'ISV Inventory'!$AU$6:$AU$255,0))&amp;"",""))</f>
        <v/>
      </c>
      <c r="E185" s="13" t="str">
        <f aca="false">IF($A185="","",IFERROR(INDEX('ISV Inventory'!$B$6:$B$255,MATCH(SMALL('ISV Inventory'!$AU$6:$AU$255,$A185),'ISV Inventory'!$AU$6:$AU$255,0))&amp;"",""))</f>
        <v/>
      </c>
      <c r="F185" s="13" t="str">
        <f aca="false">IF($A185="","",IFERROR(INDEX('ISV Inventory'!$F$6:$F$255,MATCH(SMALL('ISV Inventory'!$AU$6:$AU$255,$A185),'ISV Inventory'!$AU$6:$AU$255,0))&amp;"",""))</f>
        <v/>
      </c>
      <c r="G185" s="49" t="str">
        <f aca="false">IF($A185="","",IFERROR(INDEX('ISV Inventory'!$R$6:$R$255,MATCH(SMALL('ISV Inventory'!$AU$6:$AU$255,$A185),'ISV Inventory'!$AU$6:$AU$255,0)),""))</f>
        <v/>
      </c>
      <c r="H185" s="13" t="str">
        <f aca="false">IF($A185="","",IFERROR(INDEX('ISV Inventory'!$X$6:$X$255,MATCH(SMALL('ISV Inventory'!$AU$6:$AU$255,$A185),'ISV Inventory'!$AU$6:$AU$255,0))&amp;"",""))</f>
        <v/>
      </c>
      <c r="I185" s="47" t="str">
        <f aca="false">IF($A185="","",IFERROR(INDEX('ISV Inventory'!$Z$6:$Z$255,MATCH(SMALL('ISV Inventory'!$AU$6:$AU$255,$A185),'ISV Inventory'!$AU$6:$AU$255,0)),""))</f>
        <v/>
      </c>
      <c r="J185" s="13" t="str">
        <f aca="false">IF($A185="","",IFERROR(INDEX('ISV Inventory'!$AG$6:$AG$255,MATCH(SMALL('ISV Inventory'!$AU$6:$AU$255,$A185),'ISV Inventory'!$AU$6:$AU$255,0))&amp;"",""))</f>
        <v/>
      </c>
      <c r="K185" s="13" t="str">
        <f aca="false">IF($A185="","",IFERROR(INDEX('ISV Inventory'!$AK$6:$AK$255,MATCH(SMALL('ISV Inventory'!$AU$6:$AU$255,$A185),'ISV Inventory'!$AU$6:$AU$255,0))&amp;"",""))</f>
        <v/>
      </c>
      <c r="L185" s="13" t="str">
        <f aca="false">IF($A185="","",IFERROR(INDEX('ISV Inventory'!$AR$6:$AR$255,MATCH(SMALL('ISV Inventory'!$AU$6:$AU$255,$A185),'ISV Inventory'!$AU$6:$AU$255,0))&amp;"",""))</f>
        <v/>
      </c>
      <c r="M185" s="13" t="str">
        <f aca="false">IF($A185="","",IFERROR(INDEX('ISV Inventory'!$AS$6:$AS$255,MATCH(SMALL('ISV Inventory'!$AU$6:$AU$255,$A185),'ISV Inventory'!$AU$6:$AU$255,0))&amp;"",""))</f>
        <v/>
      </c>
    </row>
    <row r="186" customFormat="false" ht="15" hidden="false" customHeight="false" outlineLevel="0" collapsed="false">
      <c r="A186" s="13" t="str">
        <f aca="false">IF(COUNT('ISV Inventory'!$AU$6:$AU$255)&lt;182,"",182)</f>
        <v/>
      </c>
      <c r="B186" s="47" t="str">
        <f aca="false">IF($A186="","",IFERROR(INDEX('ISV Inventory'!$V$6:$V$255,MATCH(SMALL('ISV Inventory'!$AU$6:$AU$255,$A186),'ISV Inventory'!$AU$6:$AU$255,0)),""))</f>
        <v/>
      </c>
      <c r="C186" s="48" t="str">
        <f aca="false">IF($A186="","",IFERROR(INDEX('ISV Inventory'!$AA$6:$AA$255,MATCH(SMALL('ISV Inventory'!$AU$6:$AU$255,$A186),'ISV Inventory'!$AU$6:$AU$255,0)),""))</f>
        <v/>
      </c>
      <c r="D186" s="13" t="str">
        <f aca="false">IF($A186="","",IFERROR(INDEX('ISV Inventory'!$AB$6:$AB$255,MATCH(SMALL('ISV Inventory'!$AU$6:$AU$255,$A186),'ISV Inventory'!$AU$6:$AU$255,0))&amp;"",""))</f>
        <v/>
      </c>
      <c r="E186" s="13" t="str">
        <f aca="false">IF($A186="","",IFERROR(INDEX('ISV Inventory'!$B$6:$B$255,MATCH(SMALL('ISV Inventory'!$AU$6:$AU$255,$A186),'ISV Inventory'!$AU$6:$AU$255,0))&amp;"",""))</f>
        <v/>
      </c>
      <c r="F186" s="13" t="str">
        <f aca="false">IF($A186="","",IFERROR(INDEX('ISV Inventory'!$F$6:$F$255,MATCH(SMALL('ISV Inventory'!$AU$6:$AU$255,$A186),'ISV Inventory'!$AU$6:$AU$255,0))&amp;"",""))</f>
        <v/>
      </c>
      <c r="G186" s="49" t="str">
        <f aca="false">IF($A186="","",IFERROR(INDEX('ISV Inventory'!$R$6:$R$255,MATCH(SMALL('ISV Inventory'!$AU$6:$AU$255,$A186),'ISV Inventory'!$AU$6:$AU$255,0)),""))</f>
        <v/>
      </c>
      <c r="H186" s="13" t="str">
        <f aca="false">IF($A186="","",IFERROR(INDEX('ISV Inventory'!$X$6:$X$255,MATCH(SMALL('ISV Inventory'!$AU$6:$AU$255,$A186),'ISV Inventory'!$AU$6:$AU$255,0))&amp;"",""))</f>
        <v/>
      </c>
      <c r="I186" s="47" t="str">
        <f aca="false">IF($A186="","",IFERROR(INDEX('ISV Inventory'!$Z$6:$Z$255,MATCH(SMALL('ISV Inventory'!$AU$6:$AU$255,$A186),'ISV Inventory'!$AU$6:$AU$255,0)),""))</f>
        <v/>
      </c>
      <c r="J186" s="13" t="str">
        <f aca="false">IF($A186="","",IFERROR(INDEX('ISV Inventory'!$AG$6:$AG$255,MATCH(SMALL('ISV Inventory'!$AU$6:$AU$255,$A186),'ISV Inventory'!$AU$6:$AU$255,0))&amp;"",""))</f>
        <v/>
      </c>
      <c r="K186" s="13" t="str">
        <f aca="false">IF($A186="","",IFERROR(INDEX('ISV Inventory'!$AK$6:$AK$255,MATCH(SMALL('ISV Inventory'!$AU$6:$AU$255,$A186),'ISV Inventory'!$AU$6:$AU$255,0))&amp;"",""))</f>
        <v/>
      </c>
      <c r="L186" s="13" t="str">
        <f aca="false">IF($A186="","",IFERROR(INDEX('ISV Inventory'!$AR$6:$AR$255,MATCH(SMALL('ISV Inventory'!$AU$6:$AU$255,$A186),'ISV Inventory'!$AU$6:$AU$255,0))&amp;"",""))</f>
        <v/>
      </c>
      <c r="M186" s="13" t="str">
        <f aca="false">IF($A186="","",IFERROR(INDEX('ISV Inventory'!$AS$6:$AS$255,MATCH(SMALL('ISV Inventory'!$AU$6:$AU$255,$A186),'ISV Inventory'!$AU$6:$AU$255,0))&amp;"",""))</f>
        <v/>
      </c>
    </row>
    <row r="187" customFormat="false" ht="15" hidden="false" customHeight="false" outlineLevel="0" collapsed="false">
      <c r="A187" s="13" t="str">
        <f aca="false">IF(COUNT('ISV Inventory'!$AU$6:$AU$255)&lt;183,"",183)</f>
        <v/>
      </c>
      <c r="B187" s="47" t="str">
        <f aca="false">IF($A187="","",IFERROR(INDEX('ISV Inventory'!$V$6:$V$255,MATCH(SMALL('ISV Inventory'!$AU$6:$AU$255,$A187),'ISV Inventory'!$AU$6:$AU$255,0)),""))</f>
        <v/>
      </c>
      <c r="C187" s="48" t="str">
        <f aca="false">IF($A187="","",IFERROR(INDEX('ISV Inventory'!$AA$6:$AA$255,MATCH(SMALL('ISV Inventory'!$AU$6:$AU$255,$A187),'ISV Inventory'!$AU$6:$AU$255,0)),""))</f>
        <v/>
      </c>
      <c r="D187" s="13" t="str">
        <f aca="false">IF($A187="","",IFERROR(INDEX('ISV Inventory'!$AB$6:$AB$255,MATCH(SMALL('ISV Inventory'!$AU$6:$AU$255,$A187),'ISV Inventory'!$AU$6:$AU$255,0))&amp;"",""))</f>
        <v/>
      </c>
      <c r="E187" s="13" t="str">
        <f aca="false">IF($A187="","",IFERROR(INDEX('ISV Inventory'!$B$6:$B$255,MATCH(SMALL('ISV Inventory'!$AU$6:$AU$255,$A187),'ISV Inventory'!$AU$6:$AU$255,0))&amp;"",""))</f>
        <v/>
      </c>
      <c r="F187" s="13" t="str">
        <f aca="false">IF($A187="","",IFERROR(INDEX('ISV Inventory'!$F$6:$F$255,MATCH(SMALL('ISV Inventory'!$AU$6:$AU$255,$A187),'ISV Inventory'!$AU$6:$AU$255,0))&amp;"",""))</f>
        <v/>
      </c>
      <c r="G187" s="49" t="str">
        <f aca="false">IF($A187="","",IFERROR(INDEX('ISV Inventory'!$R$6:$R$255,MATCH(SMALL('ISV Inventory'!$AU$6:$AU$255,$A187),'ISV Inventory'!$AU$6:$AU$255,0)),""))</f>
        <v/>
      </c>
      <c r="H187" s="13" t="str">
        <f aca="false">IF($A187="","",IFERROR(INDEX('ISV Inventory'!$X$6:$X$255,MATCH(SMALL('ISV Inventory'!$AU$6:$AU$255,$A187),'ISV Inventory'!$AU$6:$AU$255,0))&amp;"",""))</f>
        <v/>
      </c>
      <c r="I187" s="47" t="str">
        <f aca="false">IF($A187="","",IFERROR(INDEX('ISV Inventory'!$Z$6:$Z$255,MATCH(SMALL('ISV Inventory'!$AU$6:$AU$255,$A187),'ISV Inventory'!$AU$6:$AU$255,0)),""))</f>
        <v/>
      </c>
      <c r="J187" s="13" t="str">
        <f aca="false">IF($A187="","",IFERROR(INDEX('ISV Inventory'!$AG$6:$AG$255,MATCH(SMALL('ISV Inventory'!$AU$6:$AU$255,$A187),'ISV Inventory'!$AU$6:$AU$255,0))&amp;"",""))</f>
        <v/>
      </c>
      <c r="K187" s="13" t="str">
        <f aca="false">IF($A187="","",IFERROR(INDEX('ISV Inventory'!$AK$6:$AK$255,MATCH(SMALL('ISV Inventory'!$AU$6:$AU$255,$A187),'ISV Inventory'!$AU$6:$AU$255,0))&amp;"",""))</f>
        <v/>
      </c>
      <c r="L187" s="13" t="str">
        <f aca="false">IF($A187="","",IFERROR(INDEX('ISV Inventory'!$AR$6:$AR$255,MATCH(SMALL('ISV Inventory'!$AU$6:$AU$255,$A187),'ISV Inventory'!$AU$6:$AU$255,0))&amp;"",""))</f>
        <v/>
      </c>
      <c r="M187" s="13" t="str">
        <f aca="false">IF($A187="","",IFERROR(INDEX('ISV Inventory'!$AS$6:$AS$255,MATCH(SMALL('ISV Inventory'!$AU$6:$AU$255,$A187),'ISV Inventory'!$AU$6:$AU$255,0))&amp;"",""))</f>
        <v/>
      </c>
    </row>
    <row r="188" customFormat="false" ht="15" hidden="false" customHeight="false" outlineLevel="0" collapsed="false">
      <c r="A188" s="13" t="str">
        <f aca="false">IF(COUNT('ISV Inventory'!$AU$6:$AU$255)&lt;184,"",184)</f>
        <v/>
      </c>
      <c r="B188" s="47" t="str">
        <f aca="false">IF($A188="","",IFERROR(INDEX('ISV Inventory'!$V$6:$V$255,MATCH(SMALL('ISV Inventory'!$AU$6:$AU$255,$A188),'ISV Inventory'!$AU$6:$AU$255,0)),""))</f>
        <v/>
      </c>
      <c r="C188" s="48" t="str">
        <f aca="false">IF($A188="","",IFERROR(INDEX('ISV Inventory'!$AA$6:$AA$255,MATCH(SMALL('ISV Inventory'!$AU$6:$AU$255,$A188),'ISV Inventory'!$AU$6:$AU$255,0)),""))</f>
        <v/>
      </c>
      <c r="D188" s="13" t="str">
        <f aca="false">IF($A188="","",IFERROR(INDEX('ISV Inventory'!$AB$6:$AB$255,MATCH(SMALL('ISV Inventory'!$AU$6:$AU$255,$A188),'ISV Inventory'!$AU$6:$AU$255,0))&amp;"",""))</f>
        <v/>
      </c>
      <c r="E188" s="13" t="str">
        <f aca="false">IF($A188="","",IFERROR(INDEX('ISV Inventory'!$B$6:$B$255,MATCH(SMALL('ISV Inventory'!$AU$6:$AU$255,$A188),'ISV Inventory'!$AU$6:$AU$255,0))&amp;"",""))</f>
        <v/>
      </c>
      <c r="F188" s="13" t="str">
        <f aca="false">IF($A188="","",IFERROR(INDEX('ISV Inventory'!$F$6:$F$255,MATCH(SMALL('ISV Inventory'!$AU$6:$AU$255,$A188),'ISV Inventory'!$AU$6:$AU$255,0))&amp;"",""))</f>
        <v/>
      </c>
      <c r="G188" s="49" t="str">
        <f aca="false">IF($A188="","",IFERROR(INDEX('ISV Inventory'!$R$6:$R$255,MATCH(SMALL('ISV Inventory'!$AU$6:$AU$255,$A188),'ISV Inventory'!$AU$6:$AU$255,0)),""))</f>
        <v/>
      </c>
      <c r="H188" s="13" t="str">
        <f aca="false">IF($A188="","",IFERROR(INDEX('ISV Inventory'!$X$6:$X$255,MATCH(SMALL('ISV Inventory'!$AU$6:$AU$255,$A188),'ISV Inventory'!$AU$6:$AU$255,0))&amp;"",""))</f>
        <v/>
      </c>
      <c r="I188" s="47" t="str">
        <f aca="false">IF($A188="","",IFERROR(INDEX('ISV Inventory'!$Z$6:$Z$255,MATCH(SMALL('ISV Inventory'!$AU$6:$AU$255,$A188),'ISV Inventory'!$AU$6:$AU$255,0)),""))</f>
        <v/>
      </c>
      <c r="J188" s="13" t="str">
        <f aca="false">IF($A188="","",IFERROR(INDEX('ISV Inventory'!$AG$6:$AG$255,MATCH(SMALL('ISV Inventory'!$AU$6:$AU$255,$A188),'ISV Inventory'!$AU$6:$AU$255,0))&amp;"",""))</f>
        <v/>
      </c>
      <c r="K188" s="13" t="str">
        <f aca="false">IF($A188="","",IFERROR(INDEX('ISV Inventory'!$AK$6:$AK$255,MATCH(SMALL('ISV Inventory'!$AU$6:$AU$255,$A188),'ISV Inventory'!$AU$6:$AU$255,0))&amp;"",""))</f>
        <v/>
      </c>
      <c r="L188" s="13" t="str">
        <f aca="false">IF($A188="","",IFERROR(INDEX('ISV Inventory'!$AR$6:$AR$255,MATCH(SMALL('ISV Inventory'!$AU$6:$AU$255,$A188),'ISV Inventory'!$AU$6:$AU$255,0))&amp;"",""))</f>
        <v/>
      </c>
      <c r="M188" s="13" t="str">
        <f aca="false">IF($A188="","",IFERROR(INDEX('ISV Inventory'!$AS$6:$AS$255,MATCH(SMALL('ISV Inventory'!$AU$6:$AU$255,$A188),'ISV Inventory'!$AU$6:$AU$255,0))&amp;"",""))</f>
        <v/>
      </c>
    </row>
    <row r="189" customFormat="false" ht="15" hidden="false" customHeight="false" outlineLevel="0" collapsed="false">
      <c r="A189" s="13" t="str">
        <f aca="false">IF(COUNT('ISV Inventory'!$AU$6:$AU$255)&lt;185,"",185)</f>
        <v/>
      </c>
      <c r="B189" s="47" t="str">
        <f aca="false">IF($A189="","",IFERROR(INDEX('ISV Inventory'!$V$6:$V$255,MATCH(SMALL('ISV Inventory'!$AU$6:$AU$255,$A189),'ISV Inventory'!$AU$6:$AU$255,0)),""))</f>
        <v/>
      </c>
      <c r="C189" s="48" t="str">
        <f aca="false">IF($A189="","",IFERROR(INDEX('ISV Inventory'!$AA$6:$AA$255,MATCH(SMALL('ISV Inventory'!$AU$6:$AU$255,$A189),'ISV Inventory'!$AU$6:$AU$255,0)),""))</f>
        <v/>
      </c>
      <c r="D189" s="13" t="str">
        <f aca="false">IF($A189="","",IFERROR(INDEX('ISV Inventory'!$AB$6:$AB$255,MATCH(SMALL('ISV Inventory'!$AU$6:$AU$255,$A189),'ISV Inventory'!$AU$6:$AU$255,0))&amp;"",""))</f>
        <v/>
      </c>
      <c r="E189" s="13" t="str">
        <f aca="false">IF($A189="","",IFERROR(INDEX('ISV Inventory'!$B$6:$B$255,MATCH(SMALL('ISV Inventory'!$AU$6:$AU$255,$A189),'ISV Inventory'!$AU$6:$AU$255,0))&amp;"",""))</f>
        <v/>
      </c>
      <c r="F189" s="13" t="str">
        <f aca="false">IF($A189="","",IFERROR(INDEX('ISV Inventory'!$F$6:$F$255,MATCH(SMALL('ISV Inventory'!$AU$6:$AU$255,$A189),'ISV Inventory'!$AU$6:$AU$255,0))&amp;"",""))</f>
        <v/>
      </c>
      <c r="G189" s="49" t="str">
        <f aca="false">IF($A189="","",IFERROR(INDEX('ISV Inventory'!$R$6:$R$255,MATCH(SMALL('ISV Inventory'!$AU$6:$AU$255,$A189),'ISV Inventory'!$AU$6:$AU$255,0)),""))</f>
        <v/>
      </c>
      <c r="H189" s="13" t="str">
        <f aca="false">IF($A189="","",IFERROR(INDEX('ISV Inventory'!$X$6:$X$255,MATCH(SMALL('ISV Inventory'!$AU$6:$AU$255,$A189),'ISV Inventory'!$AU$6:$AU$255,0))&amp;"",""))</f>
        <v/>
      </c>
      <c r="I189" s="47" t="str">
        <f aca="false">IF($A189="","",IFERROR(INDEX('ISV Inventory'!$Z$6:$Z$255,MATCH(SMALL('ISV Inventory'!$AU$6:$AU$255,$A189),'ISV Inventory'!$AU$6:$AU$255,0)),""))</f>
        <v/>
      </c>
      <c r="J189" s="13" t="str">
        <f aca="false">IF($A189="","",IFERROR(INDEX('ISV Inventory'!$AG$6:$AG$255,MATCH(SMALL('ISV Inventory'!$AU$6:$AU$255,$A189),'ISV Inventory'!$AU$6:$AU$255,0))&amp;"",""))</f>
        <v/>
      </c>
      <c r="K189" s="13" t="str">
        <f aca="false">IF($A189="","",IFERROR(INDEX('ISV Inventory'!$AK$6:$AK$255,MATCH(SMALL('ISV Inventory'!$AU$6:$AU$255,$A189),'ISV Inventory'!$AU$6:$AU$255,0))&amp;"",""))</f>
        <v/>
      </c>
      <c r="L189" s="13" t="str">
        <f aca="false">IF($A189="","",IFERROR(INDEX('ISV Inventory'!$AR$6:$AR$255,MATCH(SMALL('ISV Inventory'!$AU$6:$AU$255,$A189),'ISV Inventory'!$AU$6:$AU$255,0))&amp;"",""))</f>
        <v/>
      </c>
      <c r="M189" s="13" t="str">
        <f aca="false">IF($A189="","",IFERROR(INDEX('ISV Inventory'!$AS$6:$AS$255,MATCH(SMALL('ISV Inventory'!$AU$6:$AU$255,$A189),'ISV Inventory'!$AU$6:$AU$255,0))&amp;"",""))</f>
        <v/>
      </c>
    </row>
    <row r="190" customFormat="false" ht="15" hidden="false" customHeight="false" outlineLevel="0" collapsed="false">
      <c r="A190" s="13" t="str">
        <f aca="false">IF(COUNT('ISV Inventory'!$AU$6:$AU$255)&lt;186,"",186)</f>
        <v/>
      </c>
      <c r="B190" s="47" t="str">
        <f aca="false">IF($A190="","",IFERROR(INDEX('ISV Inventory'!$V$6:$V$255,MATCH(SMALL('ISV Inventory'!$AU$6:$AU$255,$A190),'ISV Inventory'!$AU$6:$AU$255,0)),""))</f>
        <v/>
      </c>
      <c r="C190" s="48" t="str">
        <f aca="false">IF($A190="","",IFERROR(INDEX('ISV Inventory'!$AA$6:$AA$255,MATCH(SMALL('ISV Inventory'!$AU$6:$AU$255,$A190),'ISV Inventory'!$AU$6:$AU$255,0)),""))</f>
        <v/>
      </c>
      <c r="D190" s="13" t="str">
        <f aca="false">IF($A190="","",IFERROR(INDEX('ISV Inventory'!$AB$6:$AB$255,MATCH(SMALL('ISV Inventory'!$AU$6:$AU$255,$A190),'ISV Inventory'!$AU$6:$AU$255,0))&amp;"",""))</f>
        <v/>
      </c>
      <c r="E190" s="13" t="str">
        <f aca="false">IF($A190="","",IFERROR(INDEX('ISV Inventory'!$B$6:$B$255,MATCH(SMALL('ISV Inventory'!$AU$6:$AU$255,$A190),'ISV Inventory'!$AU$6:$AU$255,0))&amp;"",""))</f>
        <v/>
      </c>
      <c r="F190" s="13" t="str">
        <f aca="false">IF($A190="","",IFERROR(INDEX('ISV Inventory'!$F$6:$F$255,MATCH(SMALL('ISV Inventory'!$AU$6:$AU$255,$A190),'ISV Inventory'!$AU$6:$AU$255,0))&amp;"",""))</f>
        <v/>
      </c>
      <c r="G190" s="49" t="str">
        <f aca="false">IF($A190="","",IFERROR(INDEX('ISV Inventory'!$R$6:$R$255,MATCH(SMALL('ISV Inventory'!$AU$6:$AU$255,$A190),'ISV Inventory'!$AU$6:$AU$255,0)),""))</f>
        <v/>
      </c>
      <c r="H190" s="13" t="str">
        <f aca="false">IF($A190="","",IFERROR(INDEX('ISV Inventory'!$X$6:$X$255,MATCH(SMALL('ISV Inventory'!$AU$6:$AU$255,$A190),'ISV Inventory'!$AU$6:$AU$255,0))&amp;"",""))</f>
        <v/>
      </c>
      <c r="I190" s="47" t="str">
        <f aca="false">IF($A190="","",IFERROR(INDEX('ISV Inventory'!$Z$6:$Z$255,MATCH(SMALL('ISV Inventory'!$AU$6:$AU$255,$A190),'ISV Inventory'!$AU$6:$AU$255,0)),""))</f>
        <v/>
      </c>
      <c r="J190" s="13" t="str">
        <f aca="false">IF($A190="","",IFERROR(INDEX('ISV Inventory'!$AG$6:$AG$255,MATCH(SMALL('ISV Inventory'!$AU$6:$AU$255,$A190),'ISV Inventory'!$AU$6:$AU$255,0))&amp;"",""))</f>
        <v/>
      </c>
      <c r="K190" s="13" t="str">
        <f aca="false">IF($A190="","",IFERROR(INDEX('ISV Inventory'!$AK$6:$AK$255,MATCH(SMALL('ISV Inventory'!$AU$6:$AU$255,$A190),'ISV Inventory'!$AU$6:$AU$255,0))&amp;"",""))</f>
        <v/>
      </c>
      <c r="L190" s="13" t="str">
        <f aca="false">IF($A190="","",IFERROR(INDEX('ISV Inventory'!$AR$6:$AR$255,MATCH(SMALL('ISV Inventory'!$AU$6:$AU$255,$A190),'ISV Inventory'!$AU$6:$AU$255,0))&amp;"",""))</f>
        <v/>
      </c>
      <c r="M190" s="13" t="str">
        <f aca="false">IF($A190="","",IFERROR(INDEX('ISV Inventory'!$AS$6:$AS$255,MATCH(SMALL('ISV Inventory'!$AU$6:$AU$255,$A190),'ISV Inventory'!$AU$6:$AU$255,0))&amp;"",""))</f>
        <v/>
      </c>
    </row>
    <row r="191" customFormat="false" ht="15" hidden="false" customHeight="false" outlineLevel="0" collapsed="false">
      <c r="A191" s="13" t="str">
        <f aca="false">IF(COUNT('ISV Inventory'!$AU$6:$AU$255)&lt;187,"",187)</f>
        <v/>
      </c>
      <c r="B191" s="47" t="str">
        <f aca="false">IF($A191="","",IFERROR(INDEX('ISV Inventory'!$V$6:$V$255,MATCH(SMALL('ISV Inventory'!$AU$6:$AU$255,$A191),'ISV Inventory'!$AU$6:$AU$255,0)),""))</f>
        <v/>
      </c>
      <c r="C191" s="48" t="str">
        <f aca="false">IF($A191="","",IFERROR(INDEX('ISV Inventory'!$AA$6:$AA$255,MATCH(SMALL('ISV Inventory'!$AU$6:$AU$255,$A191),'ISV Inventory'!$AU$6:$AU$255,0)),""))</f>
        <v/>
      </c>
      <c r="D191" s="13" t="str">
        <f aca="false">IF($A191="","",IFERROR(INDEX('ISV Inventory'!$AB$6:$AB$255,MATCH(SMALL('ISV Inventory'!$AU$6:$AU$255,$A191),'ISV Inventory'!$AU$6:$AU$255,0))&amp;"",""))</f>
        <v/>
      </c>
      <c r="E191" s="13" t="str">
        <f aca="false">IF($A191="","",IFERROR(INDEX('ISV Inventory'!$B$6:$B$255,MATCH(SMALL('ISV Inventory'!$AU$6:$AU$255,$A191),'ISV Inventory'!$AU$6:$AU$255,0))&amp;"",""))</f>
        <v/>
      </c>
      <c r="F191" s="13" t="str">
        <f aca="false">IF($A191="","",IFERROR(INDEX('ISV Inventory'!$F$6:$F$255,MATCH(SMALL('ISV Inventory'!$AU$6:$AU$255,$A191),'ISV Inventory'!$AU$6:$AU$255,0))&amp;"",""))</f>
        <v/>
      </c>
      <c r="G191" s="49" t="str">
        <f aca="false">IF($A191="","",IFERROR(INDEX('ISV Inventory'!$R$6:$R$255,MATCH(SMALL('ISV Inventory'!$AU$6:$AU$255,$A191),'ISV Inventory'!$AU$6:$AU$255,0)),""))</f>
        <v/>
      </c>
      <c r="H191" s="13" t="str">
        <f aca="false">IF($A191="","",IFERROR(INDEX('ISV Inventory'!$X$6:$X$255,MATCH(SMALL('ISV Inventory'!$AU$6:$AU$255,$A191),'ISV Inventory'!$AU$6:$AU$255,0))&amp;"",""))</f>
        <v/>
      </c>
      <c r="I191" s="47" t="str">
        <f aca="false">IF($A191="","",IFERROR(INDEX('ISV Inventory'!$Z$6:$Z$255,MATCH(SMALL('ISV Inventory'!$AU$6:$AU$255,$A191),'ISV Inventory'!$AU$6:$AU$255,0)),""))</f>
        <v/>
      </c>
      <c r="J191" s="13" t="str">
        <f aca="false">IF($A191="","",IFERROR(INDEX('ISV Inventory'!$AG$6:$AG$255,MATCH(SMALL('ISV Inventory'!$AU$6:$AU$255,$A191),'ISV Inventory'!$AU$6:$AU$255,0))&amp;"",""))</f>
        <v/>
      </c>
      <c r="K191" s="13" t="str">
        <f aca="false">IF($A191="","",IFERROR(INDEX('ISV Inventory'!$AK$6:$AK$255,MATCH(SMALL('ISV Inventory'!$AU$6:$AU$255,$A191),'ISV Inventory'!$AU$6:$AU$255,0))&amp;"",""))</f>
        <v/>
      </c>
      <c r="L191" s="13" t="str">
        <f aca="false">IF($A191="","",IFERROR(INDEX('ISV Inventory'!$AR$6:$AR$255,MATCH(SMALL('ISV Inventory'!$AU$6:$AU$255,$A191),'ISV Inventory'!$AU$6:$AU$255,0))&amp;"",""))</f>
        <v/>
      </c>
      <c r="M191" s="13" t="str">
        <f aca="false">IF($A191="","",IFERROR(INDEX('ISV Inventory'!$AS$6:$AS$255,MATCH(SMALL('ISV Inventory'!$AU$6:$AU$255,$A191),'ISV Inventory'!$AU$6:$AU$255,0))&amp;"",""))</f>
        <v/>
      </c>
    </row>
    <row r="192" customFormat="false" ht="15" hidden="false" customHeight="false" outlineLevel="0" collapsed="false">
      <c r="A192" s="13" t="str">
        <f aca="false">IF(COUNT('ISV Inventory'!$AU$6:$AU$255)&lt;188,"",188)</f>
        <v/>
      </c>
      <c r="B192" s="47" t="str">
        <f aca="false">IF($A192="","",IFERROR(INDEX('ISV Inventory'!$V$6:$V$255,MATCH(SMALL('ISV Inventory'!$AU$6:$AU$255,$A192),'ISV Inventory'!$AU$6:$AU$255,0)),""))</f>
        <v/>
      </c>
      <c r="C192" s="48" t="str">
        <f aca="false">IF($A192="","",IFERROR(INDEX('ISV Inventory'!$AA$6:$AA$255,MATCH(SMALL('ISV Inventory'!$AU$6:$AU$255,$A192),'ISV Inventory'!$AU$6:$AU$255,0)),""))</f>
        <v/>
      </c>
      <c r="D192" s="13" t="str">
        <f aca="false">IF($A192="","",IFERROR(INDEX('ISV Inventory'!$AB$6:$AB$255,MATCH(SMALL('ISV Inventory'!$AU$6:$AU$255,$A192),'ISV Inventory'!$AU$6:$AU$255,0))&amp;"",""))</f>
        <v/>
      </c>
      <c r="E192" s="13" t="str">
        <f aca="false">IF($A192="","",IFERROR(INDEX('ISV Inventory'!$B$6:$B$255,MATCH(SMALL('ISV Inventory'!$AU$6:$AU$255,$A192),'ISV Inventory'!$AU$6:$AU$255,0))&amp;"",""))</f>
        <v/>
      </c>
      <c r="F192" s="13" t="str">
        <f aca="false">IF($A192="","",IFERROR(INDEX('ISV Inventory'!$F$6:$F$255,MATCH(SMALL('ISV Inventory'!$AU$6:$AU$255,$A192),'ISV Inventory'!$AU$6:$AU$255,0))&amp;"",""))</f>
        <v/>
      </c>
      <c r="G192" s="49" t="str">
        <f aca="false">IF($A192="","",IFERROR(INDEX('ISV Inventory'!$R$6:$R$255,MATCH(SMALL('ISV Inventory'!$AU$6:$AU$255,$A192),'ISV Inventory'!$AU$6:$AU$255,0)),""))</f>
        <v/>
      </c>
      <c r="H192" s="13" t="str">
        <f aca="false">IF($A192="","",IFERROR(INDEX('ISV Inventory'!$X$6:$X$255,MATCH(SMALL('ISV Inventory'!$AU$6:$AU$255,$A192),'ISV Inventory'!$AU$6:$AU$255,0))&amp;"",""))</f>
        <v/>
      </c>
      <c r="I192" s="47" t="str">
        <f aca="false">IF($A192="","",IFERROR(INDEX('ISV Inventory'!$Z$6:$Z$255,MATCH(SMALL('ISV Inventory'!$AU$6:$AU$255,$A192),'ISV Inventory'!$AU$6:$AU$255,0)),""))</f>
        <v/>
      </c>
      <c r="J192" s="13" t="str">
        <f aca="false">IF($A192="","",IFERROR(INDEX('ISV Inventory'!$AG$6:$AG$255,MATCH(SMALL('ISV Inventory'!$AU$6:$AU$255,$A192),'ISV Inventory'!$AU$6:$AU$255,0))&amp;"",""))</f>
        <v/>
      </c>
      <c r="K192" s="13" t="str">
        <f aca="false">IF($A192="","",IFERROR(INDEX('ISV Inventory'!$AK$6:$AK$255,MATCH(SMALL('ISV Inventory'!$AU$6:$AU$255,$A192),'ISV Inventory'!$AU$6:$AU$255,0))&amp;"",""))</f>
        <v/>
      </c>
      <c r="L192" s="13" t="str">
        <f aca="false">IF($A192="","",IFERROR(INDEX('ISV Inventory'!$AR$6:$AR$255,MATCH(SMALL('ISV Inventory'!$AU$6:$AU$255,$A192),'ISV Inventory'!$AU$6:$AU$255,0))&amp;"",""))</f>
        <v/>
      </c>
      <c r="M192" s="13" t="str">
        <f aca="false">IF($A192="","",IFERROR(INDEX('ISV Inventory'!$AS$6:$AS$255,MATCH(SMALL('ISV Inventory'!$AU$6:$AU$255,$A192),'ISV Inventory'!$AU$6:$AU$255,0))&amp;"",""))</f>
        <v/>
      </c>
    </row>
    <row r="193" customFormat="false" ht="15" hidden="false" customHeight="false" outlineLevel="0" collapsed="false">
      <c r="A193" s="13" t="str">
        <f aca="false">IF(COUNT('ISV Inventory'!$AU$6:$AU$255)&lt;189,"",189)</f>
        <v/>
      </c>
      <c r="B193" s="47" t="str">
        <f aca="false">IF($A193="","",IFERROR(INDEX('ISV Inventory'!$V$6:$V$255,MATCH(SMALL('ISV Inventory'!$AU$6:$AU$255,$A193),'ISV Inventory'!$AU$6:$AU$255,0)),""))</f>
        <v/>
      </c>
      <c r="C193" s="48" t="str">
        <f aca="false">IF($A193="","",IFERROR(INDEX('ISV Inventory'!$AA$6:$AA$255,MATCH(SMALL('ISV Inventory'!$AU$6:$AU$255,$A193),'ISV Inventory'!$AU$6:$AU$255,0)),""))</f>
        <v/>
      </c>
      <c r="D193" s="13" t="str">
        <f aca="false">IF($A193="","",IFERROR(INDEX('ISV Inventory'!$AB$6:$AB$255,MATCH(SMALL('ISV Inventory'!$AU$6:$AU$255,$A193),'ISV Inventory'!$AU$6:$AU$255,0))&amp;"",""))</f>
        <v/>
      </c>
      <c r="E193" s="13" t="str">
        <f aca="false">IF($A193="","",IFERROR(INDEX('ISV Inventory'!$B$6:$B$255,MATCH(SMALL('ISV Inventory'!$AU$6:$AU$255,$A193),'ISV Inventory'!$AU$6:$AU$255,0))&amp;"",""))</f>
        <v/>
      </c>
      <c r="F193" s="13" t="str">
        <f aca="false">IF($A193="","",IFERROR(INDEX('ISV Inventory'!$F$6:$F$255,MATCH(SMALL('ISV Inventory'!$AU$6:$AU$255,$A193),'ISV Inventory'!$AU$6:$AU$255,0))&amp;"",""))</f>
        <v/>
      </c>
      <c r="G193" s="49" t="str">
        <f aca="false">IF($A193="","",IFERROR(INDEX('ISV Inventory'!$R$6:$R$255,MATCH(SMALL('ISV Inventory'!$AU$6:$AU$255,$A193),'ISV Inventory'!$AU$6:$AU$255,0)),""))</f>
        <v/>
      </c>
      <c r="H193" s="13" t="str">
        <f aca="false">IF($A193="","",IFERROR(INDEX('ISV Inventory'!$X$6:$X$255,MATCH(SMALL('ISV Inventory'!$AU$6:$AU$255,$A193),'ISV Inventory'!$AU$6:$AU$255,0))&amp;"",""))</f>
        <v/>
      </c>
      <c r="I193" s="47" t="str">
        <f aca="false">IF($A193="","",IFERROR(INDEX('ISV Inventory'!$Z$6:$Z$255,MATCH(SMALL('ISV Inventory'!$AU$6:$AU$255,$A193),'ISV Inventory'!$AU$6:$AU$255,0)),""))</f>
        <v/>
      </c>
      <c r="J193" s="13" t="str">
        <f aca="false">IF($A193="","",IFERROR(INDEX('ISV Inventory'!$AG$6:$AG$255,MATCH(SMALL('ISV Inventory'!$AU$6:$AU$255,$A193),'ISV Inventory'!$AU$6:$AU$255,0))&amp;"",""))</f>
        <v/>
      </c>
      <c r="K193" s="13" t="str">
        <f aca="false">IF($A193="","",IFERROR(INDEX('ISV Inventory'!$AK$6:$AK$255,MATCH(SMALL('ISV Inventory'!$AU$6:$AU$255,$A193),'ISV Inventory'!$AU$6:$AU$255,0))&amp;"",""))</f>
        <v/>
      </c>
      <c r="L193" s="13" t="str">
        <f aca="false">IF($A193="","",IFERROR(INDEX('ISV Inventory'!$AR$6:$AR$255,MATCH(SMALL('ISV Inventory'!$AU$6:$AU$255,$A193),'ISV Inventory'!$AU$6:$AU$255,0))&amp;"",""))</f>
        <v/>
      </c>
      <c r="M193" s="13" t="str">
        <f aca="false">IF($A193="","",IFERROR(INDEX('ISV Inventory'!$AS$6:$AS$255,MATCH(SMALL('ISV Inventory'!$AU$6:$AU$255,$A193),'ISV Inventory'!$AU$6:$AU$255,0))&amp;"",""))</f>
        <v/>
      </c>
    </row>
    <row r="194" customFormat="false" ht="15" hidden="false" customHeight="false" outlineLevel="0" collapsed="false">
      <c r="A194" s="13" t="str">
        <f aca="false">IF(COUNT('ISV Inventory'!$AU$6:$AU$255)&lt;190,"",190)</f>
        <v/>
      </c>
      <c r="B194" s="47" t="str">
        <f aca="false">IF($A194="","",IFERROR(INDEX('ISV Inventory'!$V$6:$V$255,MATCH(SMALL('ISV Inventory'!$AU$6:$AU$255,$A194),'ISV Inventory'!$AU$6:$AU$255,0)),""))</f>
        <v/>
      </c>
      <c r="C194" s="48" t="str">
        <f aca="false">IF($A194="","",IFERROR(INDEX('ISV Inventory'!$AA$6:$AA$255,MATCH(SMALL('ISV Inventory'!$AU$6:$AU$255,$A194),'ISV Inventory'!$AU$6:$AU$255,0)),""))</f>
        <v/>
      </c>
      <c r="D194" s="13" t="str">
        <f aca="false">IF($A194="","",IFERROR(INDEX('ISV Inventory'!$AB$6:$AB$255,MATCH(SMALL('ISV Inventory'!$AU$6:$AU$255,$A194),'ISV Inventory'!$AU$6:$AU$255,0))&amp;"",""))</f>
        <v/>
      </c>
      <c r="E194" s="13" t="str">
        <f aca="false">IF($A194="","",IFERROR(INDEX('ISV Inventory'!$B$6:$B$255,MATCH(SMALL('ISV Inventory'!$AU$6:$AU$255,$A194),'ISV Inventory'!$AU$6:$AU$255,0))&amp;"",""))</f>
        <v/>
      </c>
      <c r="F194" s="13" t="str">
        <f aca="false">IF($A194="","",IFERROR(INDEX('ISV Inventory'!$F$6:$F$255,MATCH(SMALL('ISV Inventory'!$AU$6:$AU$255,$A194),'ISV Inventory'!$AU$6:$AU$255,0))&amp;"",""))</f>
        <v/>
      </c>
      <c r="G194" s="49" t="str">
        <f aca="false">IF($A194="","",IFERROR(INDEX('ISV Inventory'!$R$6:$R$255,MATCH(SMALL('ISV Inventory'!$AU$6:$AU$255,$A194),'ISV Inventory'!$AU$6:$AU$255,0)),""))</f>
        <v/>
      </c>
      <c r="H194" s="13" t="str">
        <f aca="false">IF($A194="","",IFERROR(INDEX('ISV Inventory'!$X$6:$X$255,MATCH(SMALL('ISV Inventory'!$AU$6:$AU$255,$A194),'ISV Inventory'!$AU$6:$AU$255,0))&amp;"",""))</f>
        <v/>
      </c>
      <c r="I194" s="47" t="str">
        <f aca="false">IF($A194="","",IFERROR(INDEX('ISV Inventory'!$Z$6:$Z$255,MATCH(SMALL('ISV Inventory'!$AU$6:$AU$255,$A194),'ISV Inventory'!$AU$6:$AU$255,0)),""))</f>
        <v/>
      </c>
      <c r="J194" s="13" t="str">
        <f aca="false">IF($A194="","",IFERROR(INDEX('ISV Inventory'!$AG$6:$AG$255,MATCH(SMALL('ISV Inventory'!$AU$6:$AU$255,$A194),'ISV Inventory'!$AU$6:$AU$255,0))&amp;"",""))</f>
        <v/>
      </c>
      <c r="K194" s="13" t="str">
        <f aca="false">IF($A194="","",IFERROR(INDEX('ISV Inventory'!$AK$6:$AK$255,MATCH(SMALL('ISV Inventory'!$AU$6:$AU$255,$A194),'ISV Inventory'!$AU$6:$AU$255,0))&amp;"",""))</f>
        <v/>
      </c>
      <c r="L194" s="13" t="str">
        <f aca="false">IF($A194="","",IFERROR(INDEX('ISV Inventory'!$AR$6:$AR$255,MATCH(SMALL('ISV Inventory'!$AU$6:$AU$255,$A194),'ISV Inventory'!$AU$6:$AU$255,0))&amp;"",""))</f>
        <v/>
      </c>
      <c r="M194" s="13" t="str">
        <f aca="false">IF($A194="","",IFERROR(INDEX('ISV Inventory'!$AS$6:$AS$255,MATCH(SMALL('ISV Inventory'!$AU$6:$AU$255,$A194),'ISV Inventory'!$AU$6:$AU$255,0))&amp;"",""))</f>
        <v/>
      </c>
    </row>
    <row r="195" customFormat="false" ht="15" hidden="false" customHeight="false" outlineLevel="0" collapsed="false">
      <c r="A195" s="13" t="str">
        <f aca="false">IF(COUNT('ISV Inventory'!$AU$6:$AU$255)&lt;191,"",191)</f>
        <v/>
      </c>
      <c r="B195" s="47" t="str">
        <f aca="false">IF($A195="","",IFERROR(INDEX('ISV Inventory'!$V$6:$V$255,MATCH(SMALL('ISV Inventory'!$AU$6:$AU$255,$A195),'ISV Inventory'!$AU$6:$AU$255,0)),""))</f>
        <v/>
      </c>
      <c r="C195" s="48" t="str">
        <f aca="false">IF($A195="","",IFERROR(INDEX('ISV Inventory'!$AA$6:$AA$255,MATCH(SMALL('ISV Inventory'!$AU$6:$AU$255,$A195),'ISV Inventory'!$AU$6:$AU$255,0)),""))</f>
        <v/>
      </c>
      <c r="D195" s="13" t="str">
        <f aca="false">IF($A195="","",IFERROR(INDEX('ISV Inventory'!$AB$6:$AB$255,MATCH(SMALL('ISV Inventory'!$AU$6:$AU$255,$A195),'ISV Inventory'!$AU$6:$AU$255,0))&amp;"",""))</f>
        <v/>
      </c>
      <c r="E195" s="13" t="str">
        <f aca="false">IF($A195="","",IFERROR(INDEX('ISV Inventory'!$B$6:$B$255,MATCH(SMALL('ISV Inventory'!$AU$6:$AU$255,$A195),'ISV Inventory'!$AU$6:$AU$255,0))&amp;"",""))</f>
        <v/>
      </c>
      <c r="F195" s="13" t="str">
        <f aca="false">IF($A195="","",IFERROR(INDEX('ISV Inventory'!$F$6:$F$255,MATCH(SMALL('ISV Inventory'!$AU$6:$AU$255,$A195),'ISV Inventory'!$AU$6:$AU$255,0))&amp;"",""))</f>
        <v/>
      </c>
      <c r="G195" s="49" t="str">
        <f aca="false">IF($A195="","",IFERROR(INDEX('ISV Inventory'!$R$6:$R$255,MATCH(SMALL('ISV Inventory'!$AU$6:$AU$255,$A195),'ISV Inventory'!$AU$6:$AU$255,0)),""))</f>
        <v/>
      </c>
      <c r="H195" s="13" t="str">
        <f aca="false">IF($A195="","",IFERROR(INDEX('ISV Inventory'!$X$6:$X$255,MATCH(SMALL('ISV Inventory'!$AU$6:$AU$255,$A195),'ISV Inventory'!$AU$6:$AU$255,0))&amp;"",""))</f>
        <v/>
      </c>
      <c r="I195" s="47" t="str">
        <f aca="false">IF($A195="","",IFERROR(INDEX('ISV Inventory'!$Z$6:$Z$255,MATCH(SMALL('ISV Inventory'!$AU$6:$AU$255,$A195),'ISV Inventory'!$AU$6:$AU$255,0)),""))</f>
        <v/>
      </c>
      <c r="J195" s="13" t="str">
        <f aca="false">IF($A195="","",IFERROR(INDEX('ISV Inventory'!$AG$6:$AG$255,MATCH(SMALL('ISV Inventory'!$AU$6:$AU$255,$A195),'ISV Inventory'!$AU$6:$AU$255,0))&amp;"",""))</f>
        <v/>
      </c>
      <c r="K195" s="13" t="str">
        <f aca="false">IF($A195="","",IFERROR(INDEX('ISV Inventory'!$AK$6:$AK$255,MATCH(SMALL('ISV Inventory'!$AU$6:$AU$255,$A195),'ISV Inventory'!$AU$6:$AU$255,0))&amp;"",""))</f>
        <v/>
      </c>
      <c r="L195" s="13" t="str">
        <f aca="false">IF($A195="","",IFERROR(INDEX('ISV Inventory'!$AR$6:$AR$255,MATCH(SMALL('ISV Inventory'!$AU$6:$AU$255,$A195),'ISV Inventory'!$AU$6:$AU$255,0))&amp;"",""))</f>
        <v/>
      </c>
      <c r="M195" s="13" t="str">
        <f aca="false">IF($A195="","",IFERROR(INDEX('ISV Inventory'!$AS$6:$AS$255,MATCH(SMALL('ISV Inventory'!$AU$6:$AU$255,$A195),'ISV Inventory'!$AU$6:$AU$255,0))&amp;"",""))</f>
        <v/>
      </c>
    </row>
    <row r="196" customFormat="false" ht="15" hidden="false" customHeight="false" outlineLevel="0" collapsed="false">
      <c r="A196" s="13" t="str">
        <f aca="false">IF(COUNT('ISV Inventory'!$AU$6:$AU$255)&lt;192,"",192)</f>
        <v/>
      </c>
      <c r="B196" s="47" t="str">
        <f aca="false">IF($A196="","",IFERROR(INDEX('ISV Inventory'!$V$6:$V$255,MATCH(SMALL('ISV Inventory'!$AU$6:$AU$255,$A196),'ISV Inventory'!$AU$6:$AU$255,0)),""))</f>
        <v/>
      </c>
      <c r="C196" s="48" t="str">
        <f aca="false">IF($A196="","",IFERROR(INDEX('ISV Inventory'!$AA$6:$AA$255,MATCH(SMALL('ISV Inventory'!$AU$6:$AU$255,$A196),'ISV Inventory'!$AU$6:$AU$255,0)),""))</f>
        <v/>
      </c>
      <c r="D196" s="13" t="str">
        <f aca="false">IF($A196="","",IFERROR(INDEX('ISV Inventory'!$AB$6:$AB$255,MATCH(SMALL('ISV Inventory'!$AU$6:$AU$255,$A196),'ISV Inventory'!$AU$6:$AU$255,0))&amp;"",""))</f>
        <v/>
      </c>
      <c r="E196" s="13" t="str">
        <f aca="false">IF($A196="","",IFERROR(INDEX('ISV Inventory'!$B$6:$B$255,MATCH(SMALL('ISV Inventory'!$AU$6:$AU$255,$A196),'ISV Inventory'!$AU$6:$AU$255,0))&amp;"",""))</f>
        <v/>
      </c>
      <c r="F196" s="13" t="str">
        <f aca="false">IF($A196="","",IFERROR(INDEX('ISV Inventory'!$F$6:$F$255,MATCH(SMALL('ISV Inventory'!$AU$6:$AU$255,$A196),'ISV Inventory'!$AU$6:$AU$255,0))&amp;"",""))</f>
        <v/>
      </c>
      <c r="G196" s="49" t="str">
        <f aca="false">IF($A196="","",IFERROR(INDEX('ISV Inventory'!$R$6:$R$255,MATCH(SMALL('ISV Inventory'!$AU$6:$AU$255,$A196),'ISV Inventory'!$AU$6:$AU$255,0)),""))</f>
        <v/>
      </c>
      <c r="H196" s="13" t="str">
        <f aca="false">IF($A196="","",IFERROR(INDEX('ISV Inventory'!$X$6:$X$255,MATCH(SMALL('ISV Inventory'!$AU$6:$AU$255,$A196),'ISV Inventory'!$AU$6:$AU$255,0))&amp;"",""))</f>
        <v/>
      </c>
      <c r="I196" s="47" t="str">
        <f aca="false">IF($A196="","",IFERROR(INDEX('ISV Inventory'!$Z$6:$Z$255,MATCH(SMALL('ISV Inventory'!$AU$6:$AU$255,$A196),'ISV Inventory'!$AU$6:$AU$255,0)),""))</f>
        <v/>
      </c>
      <c r="J196" s="13" t="str">
        <f aca="false">IF($A196="","",IFERROR(INDEX('ISV Inventory'!$AG$6:$AG$255,MATCH(SMALL('ISV Inventory'!$AU$6:$AU$255,$A196),'ISV Inventory'!$AU$6:$AU$255,0))&amp;"",""))</f>
        <v/>
      </c>
      <c r="K196" s="13" t="str">
        <f aca="false">IF($A196="","",IFERROR(INDEX('ISV Inventory'!$AK$6:$AK$255,MATCH(SMALL('ISV Inventory'!$AU$6:$AU$255,$A196),'ISV Inventory'!$AU$6:$AU$255,0))&amp;"",""))</f>
        <v/>
      </c>
      <c r="L196" s="13" t="str">
        <f aca="false">IF($A196="","",IFERROR(INDEX('ISV Inventory'!$AR$6:$AR$255,MATCH(SMALL('ISV Inventory'!$AU$6:$AU$255,$A196),'ISV Inventory'!$AU$6:$AU$255,0))&amp;"",""))</f>
        <v/>
      </c>
      <c r="M196" s="13" t="str">
        <f aca="false">IF($A196="","",IFERROR(INDEX('ISV Inventory'!$AS$6:$AS$255,MATCH(SMALL('ISV Inventory'!$AU$6:$AU$255,$A196),'ISV Inventory'!$AU$6:$AU$255,0))&amp;"",""))</f>
        <v/>
      </c>
    </row>
    <row r="197" customFormat="false" ht="15" hidden="false" customHeight="false" outlineLevel="0" collapsed="false">
      <c r="A197" s="13" t="str">
        <f aca="false">IF(COUNT('ISV Inventory'!$AU$6:$AU$255)&lt;193,"",193)</f>
        <v/>
      </c>
      <c r="B197" s="47" t="str">
        <f aca="false">IF($A197="","",IFERROR(INDEX('ISV Inventory'!$V$6:$V$255,MATCH(SMALL('ISV Inventory'!$AU$6:$AU$255,$A197),'ISV Inventory'!$AU$6:$AU$255,0)),""))</f>
        <v/>
      </c>
      <c r="C197" s="48" t="str">
        <f aca="false">IF($A197="","",IFERROR(INDEX('ISV Inventory'!$AA$6:$AA$255,MATCH(SMALL('ISV Inventory'!$AU$6:$AU$255,$A197),'ISV Inventory'!$AU$6:$AU$255,0)),""))</f>
        <v/>
      </c>
      <c r="D197" s="13" t="str">
        <f aca="false">IF($A197="","",IFERROR(INDEX('ISV Inventory'!$AB$6:$AB$255,MATCH(SMALL('ISV Inventory'!$AU$6:$AU$255,$A197),'ISV Inventory'!$AU$6:$AU$255,0))&amp;"",""))</f>
        <v/>
      </c>
      <c r="E197" s="13" t="str">
        <f aca="false">IF($A197="","",IFERROR(INDEX('ISV Inventory'!$B$6:$B$255,MATCH(SMALL('ISV Inventory'!$AU$6:$AU$255,$A197),'ISV Inventory'!$AU$6:$AU$255,0))&amp;"",""))</f>
        <v/>
      </c>
      <c r="F197" s="13" t="str">
        <f aca="false">IF($A197="","",IFERROR(INDEX('ISV Inventory'!$F$6:$F$255,MATCH(SMALL('ISV Inventory'!$AU$6:$AU$255,$A197),'ISV Inventory'!$AU$6:$AU$255,0))&amp;"",""))</f>
        <v/>
      </c>
      <c r="G197" s="49" t="str">
        <f aca="false">IF($A197="","",IFERROR(INDEX('ISV Inventory'!$R$6:$R$255,MATCH(SMALL('ISV Inventory'!$AU$6:$AU$255,$A197),'ISV Inventory'!$AU$6:$AU$255,0)),""))</f>
        <v/>
      </c>
      <c r="H197" s="13" t="str">
        <f aca="false">IF($A197="","",IFERROR(INDEX('ISV Inventory'!$X$6:$X$255,MATCH(SMALL('ISV Inventory'!$AU$6:$AU$255,$A197),'ISV Inventory'!$AU$6:$AU$255,0))&amp;"",""))</f>
        <v/>
      </c>
      <c r="I197" s="47" t="str">
        <f aca="false">IF($A197="","",IFERROR(INDEX('ISV Inventory'!$Z$6:$Z$255,MATCH(SMALL('ISV Inventory'!$AU$6:$AU$255,$A197),'ISV Inventory'!$AU$6:$AU$255,0)),""))</f>
        <v/>
      </c>
      <c r="J197" s="13" t="str">
        <f aca="false">IF($A197="","",IFERROR(INDEX('ISV Inventory'!$AG$6:$AG$255,MATCH(SMALL('ISV Inventory'!$AU$6:$AU$255,$A197),'ISV Inventory'!$AU$6:$AU$255,0))&amp;"",""))</f>
        <v/>
      </c>
      <c r="K197" s="13" t="str">
        <f aca="false">IF($A197="","",IFERROR(INDEX('ISV Inventory'!$AK$6:$AK$255,MATCH(SMALL('ISV Inventory'!$AU$6:$AU$255,$A197),'ISV Inventory'!$AU$6:$AU$255,0))&amp;"",""))</f>
        <v/>
      </c>
      <c r="L197" s="13" t="str">
        <f aca="false">IF($A197="","",IFERROR(INDEX('ISV Inventory'!$AR$6:$AR$255,MATCH(SMALL('ISV Inventory'!$AU$6:$AU$255,$A197),'ISV Inventory'!$AU$6:$AU$255,0))&amp;"",""))</f>
        <v/>
      </c>
      <c r="M197" s="13" t="str">
        <f aca="false">IF($A197="","",IFERROR(INDEX('ISV Inventory'!$AS$6:$AS$255,MATCH(SMALL('ISV Inventory'!$AU$6:$AU$255,$A197),'ISV Inventory'!$AU$6:$AU$255,0))&amp;"",""))</f>
        <v/>
      </c>
    </row>
    <row r="198" customFormat="false" ht="15" hidden="false" customHeight="false" outlineLevel="0" collapsed="false">
      <c r="A198" s="13" t="str">
        <f aca="false">IF(COUNT('ISV Inventory'!$AU$6:$AU$255)&lt;194,"",194)</f>
        <v/>
      </c>
      <c r="B198" s="47" t="str">
        <f aca="false">IF($A198="","",IFERROR(INDEX('ISV Inventory'!$V$6:$V$255,MATCH(SMALL('ISV Inventory'!$AU$6:$AU$255,$A198),'ISV Inventory'!$AU$6:$AU$255,0)),""))</f>
        <v/>
      </c>
      <c r="C198" s="48" t="str">
        <f aca="false">IF($A198="","",IFERROR(INDEX('ISV Inventory'!$AA$6:$AA$255,MATCH(SMALL('ISV Inventory'!$AU$6:$AU$255,$A198),'ISV Inventory'!$AU$6:$AU$255,0)),""))</f>
        <v/>
      </c>
      <c r="D198" s="13" t="str">
        <f aca="false">IF($A198="","",IFERROR(INDEX('ISV Inventory'!$AB$6:$AB$255,MATCH(SMALL('ISV Inventory'!$AU$6:$AU$255,$A198),'ISV Inventory'!$AU$6:$AU$255,0))&amp;"",""))</f>
        <v/>
      </c>
      <c r="E198" s="13" t="str">
        <f aca="false">IF($A198="","",IFERROR(INDEX('ISV Inventory'!$B$6:$B$255,MATCH(SMALL('ISV Inventory'!$AU$6:$AU$255,$A198),'ISV Inventory'!$AU$6:$AU$255,0))&amp;"",""))</f>
        <v/>
      </c>
      <c r="F198" s="13" t="str">
        <f aca="false">IF($A198="","",IFERROR(INDEX('ISV Inventory'!$F$6:$F$255,MATCH(SMALL('ISV Inventory'!$AU$6:$AU$255,$A198),'ISV Inventory'!$AU$6:$AU$255,0))&amp;"",""))</f>
        <v/>
      </c>
      <c r="G198" s="49" t="str">
        <f aca="false">IF($A198="","",IFERROR(INDEX('ISV Inventory'!$R$6:$R$255,MATCH(SMALL('ISV Inventory'!$AU$6:$AU$255,$A198),'ISV Inventory'!$AU$6:$AU$255,0)),""))</f>
        <v/>
      </c>
      <c r="H198" s="13" t="str">
        <f aca="false">IF($A198="","",IFERROR(INDEX('ISV Inventory'!$X$6:$X$255,MATCH(SMALL('ISV Inventory'!$AU$6:$AU$255,$A198),'ISV Inventory'!$AU$6:$AU$255,0))&amp;"",""))</f>
        <v/>
      </c>
      <c r="I198" s="47" t="str">
        <f aca="false">IF($A198="","",IFERROR(INDEX('ISV Inventory'!$Z$6:$Z$255,MATCH(SMALL('ISV Inventory'!$AU$6:$AU$255,$A198),'ISV Inventory'!$AU$6:$AU$255,0)),""))</f>
        <v/>
      </c>
      <c r="J198" s="13" t="str">
        <f aca="false">IF($A198="","",IFERROR(INDEX('ISV Inventory'!$AG$6:$AG$255,MATCH(SMALL('ISV Inventory'!$AU$6:$AU$255,$A198),'ISV Inventory'!$AU$6:$AU$255,0))&amp;"",""))</f>
        <v/>
      </c>
      <c r="K198" s="13" t="str">
        <f aca="false">IF($A198="","",IFERROR(INDEX('ISV Inventory'!$AK$6:$AK$255,MATCH(SMALL('ISV Inventory'!$AU$6:$AU$255,$A198),'ISV Inventory'!$AU$6:$AU$255,0))&amp;"",""))</f>
        <v/>
      </c>
      <c r="L198" s="13" t="str">
        <f aca="false">IF($A198="","",IFERROR(INDEX('ISV Inventory'!$AR$6:$AR$255,MATCH(SMALL('ISV Inventory'!$AU$6:$AU$255,$A198),'ISV Inventory'!$AU$6:$AU$255,0))&amp;"",""))</f>
        <v/>
      </c>
      <c r="M198" s="13" t="str">
        <f aca="false">IF($A198="","",IFERROR(INDEX('ISV Inventory'!$AS$6:$AS$255,MATCH(SMALL('ISV Inventory'!$AU$6:$AU$255,$A198),'ISV Inventory'!$AU$6:$AU$255,0))&amp;"",""))</f>
        <v/>
      </c>
    </row>
    <row r="199" customFormat="false" ht="15" hidden="false" customHeight="false" outlineLevel="0" collapsed="false">
      <c r="A199" s="13" t="str">
        <f aca="false">IF(COUNT('ISV Inventory'!$AU$6:$AU$255)&lt;195,"",195)</f>
        <v/>
      </c>
      <c r="B199" s="47" t="str">
        <f aca="false">IF($A199="","",IFERROR(INDEX('ISV Inventory'!$V$6:$V$255,MATCH(SMALL('ISV Inventory'!$AU$6:$AU$255,$A199),'ISV Inventory'!$AU$6:$AU$255,0)),""))</f>
        <v/>
      </c>
      <c r="C199" s="48" t="str">
        <f aca="false">IF($A199="","",IFERROR(INDEX('ISV Inventory'!$AA$6:$AA$255,MATCH(SMALL('ISV Inventory'!$AU$6:$AU$255,$A199),'ISV Inventory'!$AU$6:$AU$255,0)),""))</f>
        <v/>
      </c>
      <c r="D199" s="13" t="str">
        <f aca="false">IF($A199="","",IFERROR(INDEX('ISV Inventory'!$AB$6:$AB$255,MATCH(SMALL('ISV Inventory'!$AU$6:$AU$255,$A199),'ISV Inventory'!$AU$6:$AU$255,0))&amp;"",""))</f>
        <v/>
      </c>
      <c r="E199" s="13" t="str">
        <f aca="false">IF($A199="","",IFERROR(INDEX('ISV Inventory'!$B$6:$B$255,MATCH(SMALL('ISV Inventory'!$AU$6:$AU$255,$A199),'ISV Inventory'!$AU$6:$AU$255,0))&amp;"",""))</f>
        <v/>
      </c>
      <c r="F199" s="13" t="str">
        <f aca="false">IF($A199="","",IFERROR(INDEX('ISV Inventory'!$F$6:$F$255,MATCH(SMALL('ISV Inventory'!$AU$6:$AU$255,$A199),'ISV Inventory'!$AU$6:$AU$255,0))&amp;"",""))</f>
        <v/>
      </c>
      <c r="G199" s="49" t="str">
        <f aca="false">IF($A199="","",IFERROR(INDEX('ISV Inventory'!$R$6:$R$255,MATCH(SMALL('ISV Inventory'!$AU$6:$AU$255,$A199),'ISV Inventory'!$AU$6:$AU$255,0)),""))</f>
        <v/>
      </c>
      <c r="H199" s="13" t="str">
        <f aca="false">IF($A199="","",IFERROR(INDEX('ISV Inventory'!$X$6:$X$255,MATCH(SMALL('ISV Inventory'!$AU$6:$AU$255,$A199),'ISV Inventory'!$AU$6:$AU$255,0))&amp;"",""))</f>
        <v/>
      </c>
      <c r="I199" s="47" t="str">
        <f aca="false">IF($A199="","",IFERROR(INDEX('ISV Inventory'!$Z$6:$Z$255,MATCH(SMALL('ISV Inventory'!$AU$6:$AU$255,$A199),'ISV Inventory'!$AU$6:$AU$255,0)),""))</f>
        <v/>
      </c>
      <c r="J199" s="13" t="str">
        <f aca="false">IF($A199="","",IFERROR(INDEX('ISV Inventory'!$AG$6:$AG$255,MATCH(SMALL('ISV Inventory'!$AU$6:$AU$255,$A199),'ISV Inventory'!$AU$6:$AU$255,0))&amp;"",""))</f>
        <v/>
      </c>
      <c r="K199" s="13" t="str">
        <f aca="false">IF($A199="","",IFERROR(INDEX('ISV Inventory'!$AK$6:$AK$255,MATCH(SMALL('ISV Inventory'!$AU$6:$AU$255,$A199),'ISV Inventory'!$AU$6:$AU$255,0))&amp;"",""))</f>
        <v/>
      </c>
      <c r="L199" s="13" t="str">
        <f aca="false">IF($A199="","",IFERROR(INDEX('ISV Inventory'!$AR$6:$AR$255,MATCH(SMALL('ISV Inventory'!$AU$6:$AU$255,$A199),'ISV Inventory'!$AU$6:$AU$255,0))&amp;"",""))</f>
        <v/>
      </c>
      <c r="M199" s="13" t="str">
        <f aca="false">IF($A199="","",IFERROR(INDEX('ISV Inventory'!$AS$6:$AS$255,MATCH(SMALL('ISV Inventory'!$AU$6:$AU$255,$A199),'ISV Inventory'!$AU$6:$AU$255,0))&amp;"",""))</f>
        <v/>
      </c>
    </row>
    <row r="200" customFormat="false" ht="15" hidden="false" customHeight="false" outlineLevel="0" collapsed="false">
      <c r="A200" s="13" t="str">
        <f aca="false">IF(COUNT('ISV Inventory'!$AU$6:$AU$255)&lt;196,"",196)</f>
        <v/>
      </c>
      <c r="B200" s="47" t="str">
        <f aca="false">IF($A200="","",IFERROR(INDEX('ISV Inventory'!$V$6:$V$255,MATCH(SMALL('ISV Inventory'!$AU$6:$AU$255,$A200),'ISV Inventory'!$AU$6:$AU$255,0)),""))</f>
        <v/>
      </c>
      <c r="C200" s="48" t="str">
        <f aca="false">IF($A200="","",IFERROR(INDEX('ISV Inventory'!$AA$6:$AA$255,MATCH(SMALL('ISV Inventory'!$AU$6:$AU$255,$A200),'ISV Inventory'!$AU$6:$AU$255,0)),""))</f>
        <v/>
      </c>
      <c r="D200" s="13" t="str">
        <f aca="false">IF($A200="","",IFERROR(INDEX('ISV Inventory'!$AB$6:$AB$255,MATCH(SMALL('ISV Inventory'!$AU$6:$AU$255,$A200),'ISV Inventory'!$AU$6:$AU$255,0))&amp;"",""))</f>
        <v/>
      </c>
      <c r="E200" s="13" t="str">
        <f aca="false">IF($A200="","",IFERROR(INDEX('ISV Inventory'!$B$6:$B$255,MATCH(SMALL('ISV Inventory'!$AU$6:$AU$255,$A200),'ISV Inventory'!$AU$6:$AU$255,0))&amp;"",""))</f>
        <v/>
      </c>
      <c r="F200" s="13" t="str">
        <f aca="false">IF($A200="","",IFERROR(INDEX('ISV Inventory'!$F$6:$F$255,MATCH(SMALL('ISV Inventory'!$AU$6:$AU$255,$A200),'ISV Inventory'!$AU$6:$AU$255,0))&amp;"",""))</f>
        <v/>
      </c>
      <c r="G200" s="49" t="str">
        <f aca="false">IF($A200="","",IFERROR(INDEX('ISV Inventory'!$R$6:$R$255,MATCH(SMALL('ISV Inventory'!$AU$6:$AU$255,$A200),'ISV Inventory'!$AU$6:$AU$255,0)),""))</f>
        <v/>
      </c>
      <c r="H200" s="13" t="str">
        <f aca="false">IF($A200="","",IFERROR(INDEX('ISV Inventory'!$X$6:$X$255,MATCH(SMALL('ISV Inventory'!$AU$6:$AU$255,$A200),'ISV Inventory'!$AU$6:$AU$255,0))&amp;"",""))</f>
        <v/>
      </c>
      <c r="I200" s="47" t="str">
        <f aca="false">IF($A200="","",IFERROR(INDEX('ISV Inventory'!$Z$6:$Z$255,MATCH(SMALL('ISV Inventory'!$AU$6:$AU$255,$A200),'ISV Inventory'!$AU$6:$AU$255,0)),""))</f>
        <v/>
      </c>
      <c r="J200" s="13" t="str">
        <f aca="false">IF($A200="","",IFERROR(INDEX('ISV Inventory'!$AG$6:$AG$255,MATCH(SMALL('ISV Inventory'!$AU$6:$AU$255,$A200),'ISV Inventory'!$AU$6:$AU$255,0))&amp;"",""))</f>
        <v/>
      </c>
      <c r="K200" s="13" t="str">
        <f aca="false">IF($A200="","",IFERROR(INDEX('ISV Inventory'!$AK$6:$AK$255,MATCH(SMALL('ISV Inventory'!$AU$6:$AU$255,$A200),'ISV Inventory'!$AU$6:$AU$255,0))&amp;"",""))</f>
        <v/>
      </c>
      <c r="L200" s="13" t="str">
        <f aca="false">IF($A200="","",IFERROR(INDEX('ISV Inventory'!$AR$6:$AR$255,MATCH(SMALL('ISV Inventory'!$AU$6:$AU$255,$A200),'ISV Inventory'!$AU$6:$AU$255,0))&amp;"",""))</f>
        <v/>
      </c>
      <c r="M200" s="13" t="str">
        <f aca="false">IF($A200="","",IFERROR(INDEX('ISV Inventory'!$AS$6:$AS$255,MATCH(SMALL('ISV Inventory'!$AU$6:$AU$255,$A200),'ISV Inventory'!$AU$6:$AU$255,0))&amp;"",""))</f>
        <v/>
      </c>
    </row>
    <row r="201" customFormat="false" ht="15" hidden="false" customHeight="false" outlineLevel="0" collapsed="false">
      <c r="A201" s="13" t="str">
        <f aca="false">IF(COUNT('ISV Inventory'!$AU$6:$AU$255)&lt;197,"",197)</f>
        <v/>
      </c>
      <c r="B201" s="47" t="str">
        <f aca="false">IF($A201="","",IFERROR(INDEX('ISV Inventory'!$V$6:$V$255,MATCH(SMALL('ISV Inventory'!$AU$6:$AU$255,$A201),'ISV Inventory'!$AU$6:$AU$255,0)),""))</f>
        <v/>
      </c>
      <c r="C201" s="48" t="str">
        <f aca="false">IF($A201="","",IFERROR(INDEX('ISV Inventory'!$AA$6:$AA$255,MATCH(SMALL('ISV Inventory'!$AU$6:$AU$255,$A201),'ISV Inventory'!$AU$6:$AU$255,0)),""))</f>
        <v/>
      </c>
      <c r="D201" s="13" t="str">
        <f aca="false">IF($A201="","",IFERROR(INDEX('ISV Inventory'!$AB$6:$AB$255,MATCH(SMALL('ISV Inventory'!$AU$6:$AU$255,$A201),'ISV Inventory'!$AU$6:$AU$255,0))&amp;"",""))</f>
        <v/>
      </c>
      <c r="E201" s="13" t="str">
        <f aca="false">IF($A201="","",IFERROR(INDEX('ISV Inventory'!$B$6:$B$255,MATCH(SMALL('ISV Inventory'!$AU$6:$AU$255,$A201),'ISV Inventory'!$AU$6:$AU$255,0))&amp;"",""))</f>
        <v/>
      </c>
      <c r="F201" s="13" t="str">
        <f aca="false">IF($A201="","",IFERROR(INDEX('ISV Inventory'!$F$6:$F$255,MATCH(SMALL('ISV Inventory'!$AU$6:$AU$255,$A201),'ISV Inventory'!$AU$6:$AU$255,0))&amp;"",""))</f>
        <v/>
      </c>
      <c r="G201" s="49" t="str">
        <f aca="false">IF($A201="","",IFERROR(INDEX('ISV Inventory'!$R$6:$R$255,MATCH(SMALL('ISV Inventory'!$AU$6:$AU$255,$A201),'ISV Inventory'!$AU$6:$AU$255,0)),""))</f>
        <v/>
      </c>
      <c r="H201" s="13" t="str">
        <f aca="false">IF($A201="","",IFERROR(INDEX('ISV Inventory'!$X$6:$X$255,MATCH(SMALL('ISV Inventory'!$AU$6:$AU$255,$A201),'ISV Inventory'!$AU$6:$AU$255,0))&amp;"",""))</f>
        <v/>
      </c>
      <c r="I201" s="47" t="str">
        <f aca="false">IF($A201="","",IFERROR(INDEX('ISV Inventory'!$Z$6:$Z$255,MATCH(SMALL('ISV Inventory'!$AU$6:$AU$255,$A201),'ISV Inventory'!$AU$6:$AU$255,0)),""))</f>
        <v/>
      </c>
      <c r="J201" s="13" t="str">
        <f aca="false">IF($A201="","",IFERROR(INDEX('ISV Inventory'!$AG$6:$AG$255,MATCH(SMALL('ISV Inventory'!$AU$6:$AU$255,$A201),'ISV Inventory'!$AU$6:$AU$255,0))&amp;"",""))</f>
        <v/>
      </c>
      <c r="K201" s="13" t="str">
        <f aca="false">IF($A201="","",IFERROR(INDEX('ISV Inventory'!$AK$6:$AK$255,MATCH(SMALL('ISV Inventory'!$AU$6:$AU$255,$A201),'ISV Inventory'!$AU$6:$AU$255,0))&amp;"",""))</f>
        <v/>
      </c>
      <c r="L201" s="13" t="str">
        <f aca="false">IF($A201="","",IFERROR(INDEX('ISV Inventory'!$AR$6:$AR$255,MATCH(SMALL('ISV Inventory'!$AU$6:$AU$255,$A201),'ISV Inventory'!$AU$6:$AU$255,0))&amp;"",""))</f>
        <v/>
      </c>
      <c r="M201" s="13" t="str">
        <f aca="false">IF($A201="","",IFERROR(INDEX('ISV Inventory'!$AS$6:$AS$255,MATCH(SMALL('ISV Inventory'!$AU$6:$AU$255,$A201),'ISV Inventory'!$AU$6:$AU$255,0))&amp;"",""))</f>
        <v/>
      </c>
    </row>
    <row r="202" customFormat="false" ht="15" hidden="false" customHeight="false" outlineLevel="0" collapsed="false">
      <c r="A202" s="13" t="str">
        <f aca="false">IF(COUNT('ISV Inventory'!$AU$6:$AU$255)&lt;198,"",198)</f>
        <v/>
      </c>
      <c r="B202" s="47" t="str">
        <f aca="false">IF($A202="","",IFERROR(INDEX('ISV Inventory'!$V$6:$V$255,MATCH(SMALL('ISV Inventory'!$AU$6:$AU$255,$A202),'ISV Inventory'!$AU$6:$AU$255,0)),""))</f>
        <v/>
      </c>
      <c r="C202" s="48" t="str">
        <f aca="false">IF($A202="","",IFERROR(INDEX('ISV Inventory'!$AA$6:$AA$255,MATCH(SMALL('ISV Inventory'!$AU$6:$AU$255,$A202),'ISV Inventory'!$AU$6:$AU$255,0)),""))</f>
        <v/>
      </c>
      <c r="D202" s="13" t="str">
        <f aca="false">IF($A202="","",IFERROR(INDEX('ISV Inventory'!$AB$6:$AB$255,MATCH(SMALL('ISV Inventory'!$AU$6:$AU$255,$A202),'ISV Inventory'!$AU$6:$AU$255,0))&amp;"",""))</f>
        <v/>
      </c>
      <c r="E202" s="13" t="str">
        <f aca="false">IF($A202="","",IFERROR(INDEX('ISV Inventory'!$B$6:$B$255,MATCH(SMALL('ISV Inventory'!$AU$6:$AU$255,$A202),'ISV Inventory'!$AU$6:$AU$255,0))&amp;"",""))</f>
        <v/>
      </c>
      <c r="F202" s="13" t="str">
        <f aca="false">IF($A202="","",IFERROR(INDEX('ISV Inventory'!$F$6:$F$255,MATCH(SMALL('ISV Inventory'!$AU$6:$AU$255,$A202),'ISV Inventory'!$AU$6:$AU$255,0))&amp;"",""))</f>
        <v/>
      </c>
      <c r="G202" s="49" t="str">
        <f aca="false">IF($A202="","",IFERROR(INDEX('ISV Inventory'!$R$6:$R$255,MATCH(SMALL('ISV Inventory'!$AU$6:$AU$255,$A202),'ISV Inventory'!$AU$6:$AU$255,0)),""))</f>
        <v/>
      </c>
      <c r="H202" s="13" t="str">
        <f aca="false">IF($A202="","",IFERROR(INDEX('ISV Inventory'!$X$6:$X$255,MATCH(SMALL('ISV Inventory'!$AU$6:$AU$255,$A202),'ISV Inventory'!$AU$6:$AU$255,0))&amp;"",""))</f>
        <v/>
      </c>
      <c r="I202" s="47" t="str">
        <f aca="false">IF($A202="","",IFERROR(INDEX('ISV Inventory'!$Z$6:$Z$255,MATCH(SMALL('ISV Inventory'!$AU$6:$AU$255,$A202),'ISV Inventory'!$AU$6:$AU$255,0)),""))</f>
        <v/>
      </c>
      <c r="J202" s="13" t="str">
        <f aca="false">IF($A202="","",IFERROR(INDEX('ISV Inventory'!$AG$6:$AG$255,MATCH(SMALL('ISV Inventory'!$AU$6:$AU$255,$A202),'ISV Inventory'!$AU$6:$AU$255,0))&amp;"",""))</f>
        <v/>
      </c>
      <c r="K202" s="13" t="str">
        <f aca="false">IF($A202="","",IFERROR(INDEX('ISV Inventory'!$AK$6:$AK$255,MATCH(SMALL('ISV Inventory'!$AU$6:$AU$255,$A202),'ISV Inventory'!$AU$6:$AU$255,0))&amp;"",""))</f>
        <v/>
      </c>
      <c r="L202" s="13" t="str">
        <f aca="false">IF($A202="","",IFERROR(INDEX('ISV Inventory'!$AR$6:$AR$255,MATCH(SMALL('ISV Inventory'!$AU$6:$AU$255,$A202),'ISV Inventory'!$AU$6:$AU$255,0))&amp;"",""))</f>
        <v/>
      </c>
      <c r="M202" s="13" t="str">
        <f aca="false">IF($A202="","",IFERROR(INDEX('ISV Inventory'!$AS$6:$AS$255,MATCH(SMALL('ISV Inventory'!$AU$6:$AU$255,$A202),'ISV Inventory'!$AU$6:$AU$255,0))&amp;"",""))</f>
        <v/>
      </c>
    </row>
    <row r="203" customFormat="false" ht="15" hidden="false" customHeight="false" outlineLevel="0" collapsed="false">
      <c r="A203" s="13" t="str">
        <f aca="false">IF(COUNT('ISV Inventory'!$AU$6:$AU$255)&lt;199,"",199)</f>
        <v/>
      </c>
      <c r="B203" s="47" t="str">
        <f aca="false">IF($A203="","",IFERROR(INDEX('ISV Inventory'!$V$6:$V$255,MATCH(SMALL('ISV Inventory'!$AU$6:$AU$255,$A203),'ISV Inventory'!$AU$6:$AU$255,0)),""))</f>
        <v/>
      </c>
      <c r="C203" s="48" t="str">
        <f aca="false">IF($A203="","",IFERROR(INDEX('ISV Inventory'!$AA$6:$AA$255,MATCH(SMALL('ISV Inventory'!$AU$6:$AU$255,$A203),'ISV Inventory'!$AU$6:$AU$255,0)),""))</f>
        <v/>
      </c>
      <c r="D203" s="13" t="str">
        <f aca="false">IF($A203="","",IFERROR(INDEX('ISV Inventory'!$AB$6:$AB$255,MATCH(SMALL('ISV Inventory'!$AU$6:$AU$255,$A203),'ISV Inventory'!$AU$6:$AU$255,0))&amp;"",""))</f>
        <v/>
      </c>
      <c r="E203" s="13" t="str">
        <f aca="false">IF($A203="","",IFERROR(INDEX('ISV Inventory'!$B$6:$B$255,MATCH(SMALL('ISV Inventory'!$AU$6:$AU$255,$A203),'ISV Inventory'!$AU$6:$AU$255,0))&amp;"",""))</f>
        <v/>
      </c>
      <c r="F203" s="13" t="str">
        <f aca="false">IF($A203="","",IFERROR(INDEX('ISV Inventory'!$F$6:$F$255,MATCH(SMALL('ISV Inventory'!$AU$6:$AU$255,$A203),'ISV Inventory'!$AU$6:$AU$255,0))&amp;"",""))</f>
        <v/>
      </c>
      <c r="G203" s="49" t="str">
        <f aca="false">IF($A203="","",IFERROR(INDEX('ISV Inventory'!$R$6:$R$255,MATCH(SMALL('ISV Inventory'!$AU$6:$AU$255,$A203),'ISV Inventory'!$AU$6:$AU$255,0)),""))</f>
        <v/>
      </c>
      <c r="H203" s="13" t="str">
        <f aca="false">IF($A203="","",IFERROR(INDEX('ISV Inventory'!$X$6:$X$255,MATCH(SMALL('ISV Inventory'!$AU$6:$AU$255,$A203),'ISV Inventory'!$AU$6:$AU$255,0))&amp;"",""))</f>
        <v/>
      </c>
      <c r="I203" s="47" t="str">
        <f aca="false">IF($A203="","",IFERROR(INDEX('ISV Inventory'!$Z$6:$Z$255,MATCH(SMALL('ISV Inventory'!$AU$6:$AU$255,$A203),'ISV Inventory'!$AU$6:$AU$255,0)),""))</f>
        <v/>
      </c>
      <c r="J203" s="13" t="str">
        <f aca="false">IF($A203="","",IFERROR(INDEX('ISV Inventory'!$AG$6:$AG$255,MATCH(SMALL('ISV Inventory'!$AU$6:$AU$255,$A203),'ISV Inventory'!$AU$6:$AU$255,0))&amp;"",""))</f>
        <v/>
      </c>
      <c r="K203" s="13" t="str">
        <f aca="false">IF($A203="","",IFERROR(INDEX('ISV Inventory'!$AK$6:$AK$255,MATCH(SMALL('ISV Inventory'!$AU$6:$AU$255,$A203),'ISV Inventory'!$AU$6:$AU$255,0))&amp;"",""))</f>
        <v/>
      </c>
      <c r="L203" s="13" t="str">
        <f aca="false">IF($A203="","",IFERROR(INDEX('ISV Inventory'!$AR$6:$AR$255,MATCH(SMALL('ISV Inventory'!$AU$6:$AU$255,$A203),'ISV Inventory'!$AU$6:$AU$255,0))&amp;"",""))</f>
        <v/>
      </c>
      <c r="M203" s="13" t="str">
        <f aca="false">IF($A203="","",IFERROR(INDEX('ISV Inventory'!$AS$6:$AS$255,MATCH(SMALL('ISV Inventory'!$AU$6:$AU$255,$A203),'ISV Inventory'!$AU$6:$AU$255,0))&amp;"",""))</f>
        <v/>
      </c>
    </row>
    <row r="204" customFormat="false" ht="15" hidden="false" customHeight="false" outlineLevel="0" collapsed="false">
      <c r="A204" s="13" t="str">
        <f aca="false">IF(COUNT('ISV Inventory'!$AU$6:$AU$255)&lt;200,"",200)</f>
        <v/>
      </c>
      <c r="B204" s="47" t="str">
        <f aca="false">IF($A204="","",IFERROR(INDEX('ISV Inventory'!$V$6:$V$255,MATCH(SMALL('ISV Inventory'!$AU$6:$AU$255,$A204),'ISV Inventory'!$AU$6:$AU$255,0)),""))</f>
        <v/>
      </c>
      <c r="C204" s="48" t="str">
        <f aca="false">IF($A204="","",IFERROR(INDEX('ISV Inventory'!$AA$6:$AA$255,MATCH(SMALL('ISV Inventory'!$AU$6:$AU$255,$A204),'ISV Inventory'!$AU$6:$AU$255,0)),""))</f>
        <v/>
      </c>
      <c r="D204" s="13" t="str">
        <f aca="false">IF($A204="","",IFERROR(INDEX('ISV Inventory'!$AB$6:$AB$255,MATCH(SMALL('ISV Inventory'!$AU$6:$AU$255,$A204),'ISV Inventory'!$AU$6:$AU$255,0))&amp;"",""))</f>
        <v/>
      </c>
      <c r="E204" s="13" t="str">
        <f aca="false">IF($A204="","",IFERROR(INDEX('ISV Inventory'!$B$6:$B$255,MATCH(SMALL('ISV Inventory'!$AU$6:$AU$255,$A204),'ISV Inventory'!$AU$6:$AU$255,0))&amp;"",""))</f>
        <v/>
      </c>
      <c r="F204" s="13" t="str">
        <f aca="false">IF($A204="","",IFERROR(INDEX('ISV Inventory'!$F$6:$F$255,MATCH(SMALL('ISV Inventory'!$AU$6:$AU$255,$A204),'ISV Inventory'!$AU$6:$AU$255,0))&amp;"",""))</f>
        <v/>
      </c>
      <c r="G204" s="49" t="str">
        <f aca="false">IF($A204="","",IFERROR(INDEX('ISV Inventory'!$R$6:$R$255,MATCH(SMALL('ISV Inventory'!$AU$6:$AU$255,$A204),'ISV Inventory'!$AU$6:$AU$255,0)),""))</f>
        <v/>
      </c>
      <c r="H204" s="13" t="str">
        <f aca="false">IF($A204="","",IFERROR(INDEX('ISV Inventory'!$X$6:$X$255,MATCH(SMALL('ISV Inventory'!$AU$6:$AU$255,$A204),'ISV Inventory'!$AU$6:$AU$255,0))&amp;"",""))</f>
        <v/>
      </c>
      <c r="I204" s="47" t="str">
        <f aca="false">IF($A204="","",IFERROR(INDEX('ISV Inventory'!$Z$6:$Z$255,MATCH(SMALL('ISV Inventory'!$AU$6:$AU$255,$A204),'ISV Inventory'!$AU$6:$AU$255,0)),""))</f>
        <v/>
      </c>
      <c r="J204" s="13" t="str">
        <f aca="false">IF($A204="","",IFERROR(INDEX('ISV Inventory'!$AG$6:$AG$255,MATCH(SMALL('ISV Inventory'!$AU$6:$AU$255,$A204),'ISV Inventory'!$AU$6:$AU$255,0))&amp;"",""))</f>
        <v/>
      </c>
      <c r="K204" s="13" t="str">
        <f aca="false">IF($A204="","",IFERROR(INDEX('ISV Inventory'!$AK$6:$AK$255,MATCH(SMALL('ISV Inventory'!$AU$6:$AU$255,$A204),'ISV Inventory'!$AU$6:$AU$255,0))&amp;"",""))</f>
        <v/>
      </c>
      <c r="L204" s="13" t="str">
        <f aca="false">IF($A204="","",IFERROR(INDEX('ISV Inventory'!$AR$6:$AR$255,MATCH(SMALL('ISV Inventory'!$AU$6:$AU$255,$A204),'ISV Inventory'!$AU$6:$AU$255,0))&amp;"",""))</f>
        <v/>
      </c>
      <c r="M204" s="13" t="str">
        <f aca="false">IF($A204="","",IFERROR(INDEX('ISV Inventory'!$AS$6:$AS$255,MATCH(SMALL('ISV Inventory'!$AU$6:$AU$255,$A204),'ISV Inventory'!$AU$6:$AU$255,0))&amp;"",""))</f>
        <v/>
      </c>
    </row>
    <row r="205" customFormat="false" ht="15" hidden="false" customHeight="false" outlineLevel="0" collapsed="false">
      <c r="A205" s="13" t="str">
        <f aca="false">IF(COUNT('ISV Inventory'!$AU$6:$AU$255)&lt;201,"",201)</f>
        <v/>
      </c>
      <c r="B205" s="47" t="str">
        <f aca="false">IF($A205="","",IFERROR(INDEX('ISV Inventory'!$V$6:$V$255,MATCH(SMALL('ISV Inventory'!$AU$6:$AU$255,$A205),'ISV Inventory'!$AU$6:$AU$255,0)),""))</f>
        <v/>
      </c>
      <c r="C205" s="48" t="str">
        <f aca="false">IF($A205="","",IFERROR(INDEX('ISV Inventory'!$AA$6:$AA$255,MATCH(SMALL('ISV Inventory'!$AU$6:$AU$255,$A205),'ISV Inventory'!$AU$6:$AU$255,0)),""))</f>
        <v/>
      </c>
      <c r="D205" s="13" t="str">
        <f aca="false">IF($A205="","",IFERROR(INDEX('ISV Inventory'!$AB$6:$AB$255,MATCH(SMALL('ISV Inventory'!$AU$6:$AU$255,$A205),'ISV Inventory'!$AU$6:$AU$255,0))&amp;"",""))</f>
        <v/>
      </c>
      <c r="E205" s="13" t="str">
        <f aca="false">IF($A205="","",IFERROR(INDEX('ISV Inventory'!$B$6:$B$255,MATCH(SMALL('ISV Inventory'!$AU$6:$AU$255,$A205),'ISV Inventory'!$AU$6:$AU$255,0))&amp;"",""))</f>
        <v/>
      </c>
      <c r="F205" s="13" t="str">
        <f aca="false">IF($A205="","",IFERROR(INDEX('ISV Inventory'!$F$6:$F$255,MATCH(SMALL('ISV Inventory'!$AU$6:$AU$255,$A205),'ISV Inventory'!$AU$6:$AU$255,0))&amp;"",""))</f>
        <v/>
      </c>
      <c r="G205" s="49" t="str">
        <f aca="false">IF($A205="","",IFERROR(INDEX('ISV Inventory'!$R$6:$R$255,MATCH(SMALL('ISV Inventory'!$AU$6:$AU$255,$A205),'ISV Inventory'!$AU$6:$AU$255,0)),""))</f>
        <v/>
      </c>
      <c r="H205" s="13" t="str">
        <f aca="false">IF($A205="","",IFERROR(INDEX('ISV Inventory'!$X$6:$X$255,MATCH(SMALL('ISV Inventory'!$AU$6:$AU$255,$A205),'ISV Inventory'!$AU$6:$AU$255,0))&amp;"",""))</f>
        <v/>
      </c>
      <c r="I205" s="47" t="str">
        <f aca="false">IF($A205="","",IFERROR(INDEX('ISV Inventory'!$Z$6:$Z$255,MATCH(SMALL('ISV Inventory'!$AU$6:$AU$255,$A205),'ISV Inventory'!$AU$6:$AU$255,0)),""))</f>
        <v/>
      </c>
      <c r="J205" s="13" t="str">
        <f aca="false">IF($A205="","",IFERROR(INDEX('ISV Inventory'!$AG$6:$AG$255,MATCH(SMALL('ISV Inventory'!$AU$6:$AU$255,$A205),'ISV Inventory'!$AU$6:$AU$255,0))&amp;"",""))</f>
        <v/>
      </c>
      <c r="K205" s="13" t="str">
        <f aca="false">IF($A205="","",IFERROR(INDEX('ISV Inventory'!$AK$6:$AK$255,MATCH(SMALL('ISV Inventory'!$AU$6:$AU$255,$A205),'ISV Inventory'!$AU$6:$AU$255,0))&amp;"",""))</f>
        <v/>
      </c>
      <c r="L205" s="13" t="str">
        <f aca="false">IF($A205="","",IFERROR(INDEX('ISV Inventory'!$AR$6:$AR$255,MATCH(SMALL('ISV Inventory'!$AU$6:$AU$255,$A205),'ISV Inventory'!$AU$6:$AU$255,0))&amp;"",""))</f>
        <v/>
      </c>
      <c r="M205" s="13" t="str">
        <f aca="false">IF($A205="","",IFERROR(INDEX('ISV Inventory'!$AS$6:$AS$255,MATCH(SMALL('ISV Inventory'!$AU$6:$AU$255,$A205),'ISV Inventory'!$AU$6:$AU$255,0))&amp;"",""))</f>
        <v/>
      </c>
    </row>
    <row r="206" customFormat="false" ht="15" hidden="false" customHeight="false" outlineLevel="0" collapsed="false">
      <c r="A206" s="13" t="str">
        <f aca="false">IF(COUNT('ISV Inventory'!$AU$6:$AU$255)&lt;202,"",202)</f>
        <v/>
      </c>
      <c r="B206" s="47" t="str">
        <f aca="false">IF($A206="","",IFERROR(INDEX('ISV Inventory'!$V$6:$V$255,MATCH(SMALL('ISV Inventory'!$AU$6:$AU$255,$A206),'ISV Inventory'!$AU$6:$AU$255,0)),""))</f>
        <v/>
      </c>
      <c r="C206" s="48" t="str">
        <f aca="false">IF($A206="","",IFERROR(INDEX('ISV Inventory'!$AA$6:$AA$255,MATCH(SMALL('ISV Inventory'!$AU$6:$AU$255,$A206),'ISV Inventory'!$AU$6:$AU$255,0)),""))</f>
        <v/>
      </c>
      <c r="D206" s="13" t="str">
        <f aca="false">IF($A206="","",IFERROR(INDEX('ISV Inventory'!$AB$6:$AB$255,MATCH(SMALL('ISV Inventory'!$AU$6:$AU$255,$A206),'ISV Inventory'!$AU$6:$AU$255,0))&amp;"",""))</f>
        <v/>
      </c>
      <c r="E206" s="13" t="str">
        <f aca="false">IF($A206="","",IFERROR(INDEX('ISV Inventory'!$B$6:$B$255,MATCH(SMALL('ISV Inventory'!$AU$6:$AU$255,$A206),'ISV Inventory'!$AU$6:$AU$255,0))&amp;"",""))</f>
        <v/>
      </c>
      <c r="F206" s="13" t="str">
        <f aca="false">IF($A206="","",IFERROR(INDEX('ISV Inventory'!$F$6:$F$255,MATCH(SMALL('ISV Inventory'!$AU$6:$AU$255,$A206),'ISV Inventory'!$AU$6:$AU$255,0))&amp;"",""))</f>
        <v/>
      </c>
      <c r="G206" s="49" t="str">
        <f aca="false">IF($A206="","",IFERROR(INDEX('ISV Inventory'!$R$6:$R$255,MATCH(SMALL('ISV Inventory'!$AU$6:$AU$255,$A206),'ISV Inventory'!$AU$6:$AU$255,0)),""))</f>
        <v/>
      </c>
      <c r="H206" s="13" t="str">
        <f aca="false">IF($A206="","",IFERROR(INDEX('ISV Inventory'!$X$6:$X$255,MATCH(SMALL('ISV Inventory'!$AU$6:$AU$255,$A206),'ISV Inventory'!$AU$6:$AU$255,0))&amp;"",""))</f>
        <v/>
      </c>
      <c r="I206" s="47" t="str">
        <f aca="false">IF($A206="","",IFERROR(INDEX('ISV Inventory'!$Z$6:$Z$255,MATCH(SMALL('ISV Inventory'!$AU$6:$AU$255,$A206),'ISV Inventory'!$AU$6:$AU$255,0)),""))</f>
        <v/>
      </c>
      <c r="J206" s="13" t="str">
        <f aca="false">IF($A206="","",IFERROR(INDEX('ISV Inventory'!$AG$6:$AG$255,MATCH(SMALL('ISV Inventory'!$AU$6:$AU$255,$A206),'ISV Inventory'!$AU$6:$AU$255,0))&amp;"",""))</f>
        <v/>
      </c>
      <c r="K206" s="13" t="str">
        <f aca="false">IF($A206="","",IFERROR(INDEX('ISV Inventory'!$AK$6:$AK$255,MATCH(SMALL('ISV Inventory'!$AU$6:$AU$255,$A206),'ISV Inventory'!$AU$6:$AU$255,0))&amp;"",""))</f>
        <v/>
      </c>
      <c r="L206" s="13" t="str">
        <f aca="false">IF($A206="","",IFERROR(INDEX('ISV Inventory'!$AR$6:$AR$255,MATCH(SMALL('ISV Inventory'!$AU$6:$AU$255,$A206),'ISV Inventory'!$AU$6:$AU$255,0))&amp;"",""))</f>
        <v/>
      </c>
      <c r="M206" s="13" t="str">
        <f aca="false">IF($A206="","",IFERROR(INDEX('ISV Inventory'!$AS$6:$AS$255,MATCH(SMALL('ISV Inventory'!$AU$6:$AU$255,$A206),'ISV Inventory'!$AU$6:$AU$255,0))&amp;"",""))</f>
        <v/>
      </c>
    </row>
    <row r="207" customFormat="false" ht="15" hidden="false" customHeight="false" outlineLevel="0" collapsed="false">
      <c r="A207" s="13" t="str">
        <f aca="false">IF(COUNT('ISV Inventory'!$AU$6:$AU$255)&lt;203,"",203)</f>
        <v/>
      </c>
      <c r="B207" s="47" t="str">
        <f aca="false">IF($A207="","",IFERROR(INDEX('ISV Inventory'!$V$6:$V$255,MATCH(SMALL('ISV Inventory'!$AU$6:$AU$255,$A207),'ISV Inventory'!$AU$6:$AU$255,0)),""))</f>
        <v/>
      </c>
      <c r="C207" s="48" t="str">
        <f aca="false">IF($A207="","",IFERROR(INDEX('ISV Inventory'!$AA$6:$AA$255,MATCH(SMALL('ISV Inventory'!$AU$6:$AU$255,$A207),'ISV Inventory'!$AU$6:$AU$255,0)),""))</f>
        <v/>
      </c>
      <c r="D207" s="13" t="str">
        <f aca="false">IF($A207="","",IFERROR(INDEX('ISV Inventory'!$AB$6:$AB$255,MATCH(SMALL('ISV Inventory'!$AU$6:$AU$255,$A207),'ISV Inventory'!$AU$6:$AU$255,0))&amp;"",""))</f>
        <v/>
      </c>
      <c r="E207" s="13" t="str">
        <f aca="false">IF($A207="","",IFERROR(INDEX('ISV Inventory'!$B$6:$B$255,MATCH(SMALL('ISV Inventory'!$AU$6:$AU$255,$A207),'ISV Inventory'!$AU$6:$AU$255,0))&amp;"",""))</f>
        <v/>
      </c>
      <c r="F207" s="13" t="str">
        <f aca="false">IF($A207="","",IFERROR(INDEX('ISV Inventory'!$F$6:$F$255,MATCH(SMALL('ISV Inventory'!$AU$6:$AU$255,$A207),'ISV Inventory'!$AU$6:$AU$255,0))&amp;"",""))</f>
        <v/>
      </c>
      <c r="G207" s="49" t="str">
        <f aca="false">IF($A207="","",IFERROR(INDEX('ISV Inventory'!$R$6:$R$255,MATCH(SMALL('ISV Inventory'!$AU$6:$AU$255,$A207),'ISV Inventory'!$AU$6:$AU$255,0)),""))</f>
        <v/>
      </c>
      <c r="H207" s="13" t="str">
        <f aca="false">IF($A207="","",IFERROR(INDEX('ISV Inventory'!$X$6:$X$255,MATCH(SMALL('ISV Inventory'!$AU$6:$AU$255,$A207),'ISV Inventory'!$AU$6:$AU$255,0))&amp;"",""))</f>
        <v/>
      </c>
      <c r="I207" s="47" t="str">
        <f aca="false">IF($A207="","",IFERROR(INDEX('ISV Inventory'!$Z$6:$Z$255,MATCH(SMALL('ISV Inventory'!$AU$6:$AU$255,$A207),'ISV Inventory'!$AU$6:$AU$255,0)),""))</f>
        <v/>
      </c>
      <c r="J207" s="13" t="str">
        <f aca="false">IF($A207="","",IFERROR(INDEX('ISV Inventory'!$AG$6:$AG$255,MATCH(SMALL('ISV Inventory'!$AU$6:$AU$255,$A207),'ISV Inventory'!$AU$6:$AU$255,0))&amp;"",""))</f>
        <v/>
      </c>
      <c r="K207" s="13" t="str">
        <f aca="false">IF($A207="","",IFERROR(INDEX('ISV Inventory'!$AK$6:$AK$255,MATCH(SMALL('ISV Inventory'!$AU$6:$AU$255,$A207),'ISV Inventory'!$AU$6:$AU$255,0))&amp;"",""))</f>
        <v/>
      </c>
      <c r="L207" s="13" t="str">
        <f aca="false">IF($A207="","",IFERROR(INDEX('ISV Inventory'!$AR$6:$AR$255,MATCH(SMALL('ISV Inventory'!$AU$6:$AU$255,$A207),'ISV Inventory'!$AU$6:$AU$255,0))&amp;"",""))</f>
        <v/>
      </c>
      <c r="M207" s="13" t="str">
        <f aca="false">IF($A207="","",IFERROR(INDEX('ISV Inventory'!$AS$6:$AS$255,MATCH(SMALL('ISV Inventory'!$AU$6:$AU$255,$A207),'ISV Inventory'!$AU$6:$AU$255,0))&amp;"",""))</f>
        <v/>
      </c>
    </row>
    <row r="208" customFormat="false" ht="15" hidden="false" customHeight="false" outlineLevel="0" collapsed="false">
      <c r="A208" s="13" t="str">
        <f aca="false">IF(COUNT('ISV Inventory'!$AU$6:$AU$255)&lt;204,"",204)</f>
        <v/>
      </c>
      <c r="B208" s="47" t="str">
        <f aca="false">IF($A208="","",IFERROR(INDEX('ISV Inventory'!$V$6:$V$255,MATCH(SMALL('ISV Inventory'!$AU$6:$AU$255,$A208),'ISV Inventory'!$AU$6:$AU$255,0)),""))</f>
        <v/>
      </c>
      <c r="C208" s="48" t="str">
        <f aca="false">IF($A208="","",IFERROR(INDEX('ISV Inventory'!$AA$6:$AA$255,MATCH(SMALL('ISV Inventory'!$AU$6:$AU$255,$A208),'ISV Inventory'!$AU$6:$AU$255,0)),""))</f>
        <v/>
      </c>
      <c r="D208" s="13" t="str">
        <f aca="false">IF($A208="","",IFERROR(INDEX('ISV Inventory'!$AB$6:$AB$255,MATCH(SMALL('ISV Inventory'!$AU$6:$AU$255,$A208),'ISV Inventory'!$AU$6:$AU$255,0))&amp;"",""))</f>
        <v/>
      </c>
      <c r="E208" s="13" t="str">
        <f aca="false">IF($A208="","",IFERROR(INDEX('ISV Inventory'!$B$6:$B$255,MATCH(SMALL('ISV Inventory'!$AU$6:$AU$255,$A208),'ISV Inventory'!$AU$6:$AU$255,0))&amp;"",""))</f>
        <v/>
      </c>
      <c r="F208" s="13" t="str">
        <f aca="false">IF($A208="","",IFERROR(INDEX('ISV Inventory'!$F$6:$F$255,MATCH(SMALL('ISV Inventory'!$AU$6:$AU$255,$A208),'ISV Inventory'!$AU$6:$AU$255,0))&amp;"",""))</f>
        <v/>
      </c>
      <c r="G208" s="49" t="str">
        <f aca="false">IF($A208="","",IFERROR(INDEX('ISV Inventory'!$R$6:$R$255,MATCH(SMALL('ISV Inventory'!$AU$6:$AU$255,$A208),'ISV Inventory'!$AU$6:$AU$255,0)),""))</f>
        <v/>
      </c>
      <c r="H208" s="13" t="str">
        <f aca="false">IF($A208="","",IFERROR(INDEX('ISV Inventory'!$X$6:$X$255,MATCH(SMALL('ISV Inventory'!$AU$6:$AU$255,$A208),'ISV Inventory'!$AU$6:$AU$255,0))&amp;"",""))</f>
        <v/>
      </c>
      <c r="I208" s="47" t="str">
        <f aca="false">IF($A208="","",IFERROR(INDEX('ISV Inventory'!$Z$6:$Z$255,MATCH(SMALL('ISV Inventory'!$AU$6:$AU$255,$A208),'ISV Inventory'!$AU$6:$AU$255,0)),""))</f>
        <v/>
      </c>
      <c r="J208" s="13" t="str">
        <f aca="false">IF($A208="","",IFERROR(INDEX('ISV Inventory'!$AG$6:$AG$255,MATCH(SMALL('ISV Inventory'!$AU$6:$AU$255,$A208),'ISV Inventory'!$AU$6:$AU$255,0))&amp;"",""))</f>
        <v/>
      </c>
      <c r="K208" s="13" t="str">
        <f aca="false">IF($A208="","",IFERROR(INDEX('ISV Inventory'!$AK$6:$AK$255,MATCH(SMALL('ISV Inventory'!$AU$6:$AU$255,$A208),'ISV Inventory'!$AU$6:$AU$255,0))&amp;"",""))</f>
        <v/>
      </c>
      <c r="L208" s="13" t="str">
        <f aca="false">IF($A208="","",IFERROR(INDEX('ISV Inventory'!$AR$6:$AR$255,MATCH(SMALL('ISV Inventory'!$AU$6:$AU$255,$A208),'ISV Inventory'!$AU$6:$AU$255,0))&amp;"",""))</f>
        <v/>
      </c>
      <c r="M208" s="13" t="str">
        <f aca="false">IF($A208="","",IFERROR(INDEX('ISV Inventory'!$AS$6:$AS$255,MATCH(SMALL('ISV Inventory'!$AU$6:$AU$255,$A208),'ISV Inventory'!$AU$6:$AU$255,0))&amp;"",""))</f>
        <v/>
      </c>
    </row>
    <row r="209" customFormat="false" ht="15" hidden="false" customHeight="false" outlineLevel="0" collapsed="false">
      <c r="A209" s="13" t="str">
        <f aca="false">IF(COUNT('ISV Inventory'!$AU$6:$AU$255)&lt;205,"",205)</f>
        <v/>
      </c>
      <c r="B209" s="47" t="str">
        <f aca="false">IF($A209="","",IFERROR(INDEX('ISV Inventory'!$V$6:$V$255,MATCH(SMALL('ISV Inventory'!$AU$6:$AU$255,$A209),'ISV Inventory'!$AU$6:$AU$255,0)),""))</f>
        <v/>
      </c>
      <c r="C209" s="48" t="str">
        <f aca="false">IF($A209="","",IFERROR(INDEX('ISV Inventory'!$AA$6:$AA$255,MATCH(SMALL('ISV Inventory'!$AU$6:$AU$255,$A209),'ISV Inventory'!$AU$6:$AU$255,0)),""))</f>
        <v/>
      </c>
      <c r="D209" s="13" t="str">
        <f aca="false">IF($A209="","",IFERROR(INDEX('ISV Inventory'!$AB$6:$AB$255,MATCH(SMALL('ISV Inventory'!$AU$6:$AU$255,$A209),'ISV Inventory'!$AU$6:$AU$255,0))&amp;"",""))</f>
        <v/>
      </c>
      <c r="E209" s="13" t="str">
        <f aca="false">IF($A209="","",IFERROR(INDEX('ISV Inventory'!$B$6:$B$255,MATCH(SMALL('ISV Inventory'!$AU$6:$AU$255,$A209),'ISV Inventory'!$AU$6:$AU$255,0))&amp;"",""))</f>
        <v/>
      </c>
      <c r="F209" s="13" t="str">
        <f aca="false">IF($A209="","",IFERROR(INDEX('ISV Inventory'!$F$6:$F$255,MATCH(SMALL('ISV Inventory'!$AU$6:$AU$255,$A209),'ISV Inventory'!$AU$6:$AU$255,0))&amp;"",""))</f>
        <v/>
      </c>
      <c r="G209" s="49" t="str">
        <f aca="false">IF($A209="","",IFERROR(INDEX('ISV Inventory'!$R$6:$R$255,MATCH(SMALL('ISV Inventory'!$AU$6:$AU$255,$A209),'ISV Inventory'!$AU$6:$AU$255,0)),""))</f>
        <v/>
      </c>
      <c r="H209" s="13" t="str">
        <f aca="false">IF($A209="","",IFERROR(INDEX('ISV Inventory'!$X$6:$X$255,MATCH(SMALL('ISV Inventory'!$AU$6:$AU$255,$A209),'ISV Inventory'!$AU$6:$AU$255,0))&amp;"",""))</f>
        <v/>
      </c>
      <c r="I209" s="47" t="str">
        <f aca="false">IF($A209="","",IFERROR(INDEX('ISV Inventory'!$Z$6:$Z$255,MATCH(SMALL('ISV Inventory'!$AU$6:$AU$255,$A209),'ISV Inventory'!$AU$6:$AU$255,0)),""))</f>
        <v/>
      </c>
      <c r="J209" s="13" t="str">
        <f aca="false">IF($A209="","",IFERROR(INDEX('ISV Inventory'!$AG$6:$AG$255,MATCH(SMALL('ISV Inventory'!$AU$6:$AU$255,$A209),'ISV Inventory'!$AU$6:$AU$255,0))&amp;"",""))</f>
        <v/>
      </c>
      <c r="K209" s="13" t="str">
        <f aca="false">IF($A209="","",IFERROR(INDEX('ISV Inventory'!$AK$6:$AK$255,MATCH(SMALL('ISV Inventory'!$AU$6:$AU$255,$A209),'ISV Inventory'!$AU$6:$AU$255,0))&amp;"",""))</f>
        <v/>
      </c>
      <c r="L209" s="13" t="str">
        <f aca="false">IF($A209="","",IFERROR(INDEX('ISV Inventory'!$AR$6:$AR$255,MATCH(SMALL('ISV Inventory'!$AU$6:$AU$255,$A209),'ISV Inventory'!$AU$6:$AU$255,0))&amp;"",""))</f>
        <v/>
      </c>
      <c r="M209" s="13" t="str">
        <f aca="false">IF($A209="","",IFERROR(INDEX('ISV Inventory'!$AS$6:$AS$255,MATCH(SMALL('ISV Inventory'!$AU$6:$AU$255,$A209),'ISV Inventory'!$AU$6:$AU$255,0))&amp;"",""))</f>
        <v/>
      </c>
    </row>
    <row r="210" customFormat="false" ht="15" hidden="false" customHeight="false" outlineLevel="0" collapsed="false">
      <c r="A210" s="13" t="str">
        <f aca="false">IF(COUNT('ISV Inventory'!$AU$6:$AU$255)&lt;206,"",206)</f>
        <v/>
      </c>
      <c r="B210" s="47" t="str">
        <f aca="false">IF($A210="","",IFERROR(INDEX('ISV Inventory'!$V$6:$V$255,MATCH(SMALL('ISV Inventory'!$AU$6:$AU$255,$A210),'ISV Inventory'!$AU$6:$AU$255,0)),""))</f>
        <v/>
      </c>
      <c r="C210" s="48" t="str">
        <f aca="false">IF($A210="","",IFERROR(INDEX('ISV Inventory'!$AA$6:$AA$255,MATCH(SMALL('ISV Inventory'!$AU$6:$AU$255,$A210),'ISV Inventory'!$AU$6:$AU$255,0)),""))</f>
        <v/>
      </c>
      <c r="D210" s="13" t="str">
        <f aca="false">IF($A210="","",IFERROR(INDEX('ISV Inventory'!$AB$6:$AB$255,MATCH(SMALL('ISV Inventory'!$AU$6:$AU$255,$A210),'ISV Inventory'!$AU$6:$AU$255,0))&amp;"",""))</f>
        <v/>
      </c>
      <c r="E210" s="13" t="str">
        <f aca="false">IF($A210="","",IFERROR(INDEX('ISV Inventory'!$B$6:$B$255,MATCH(SMALL('ISV Inventory'!$AU$6:$AU$255,$A210),'ISV Inventory'!$AU$6:$AU$255,0))&amp;"",""))</f>
        <v/>
      </c>
      <c r="F210" s="13" t="str">
        <f aca="false">IF($A210="","",IFERROR(INDEX('ISV Inventory'!$F$6:$F$255,MATCH(SMALL('ISV Inventory'!$AU$6:$AU$255,$A210),'ISV Inventory'!$AU$6:$AU$255,0))&amp;"",""))</f>
        <v/>
      </c>
      <c r="G210" s="49" t="str">
        <f aca="false">IF($A210="","",IFERROR(INDEX('ISV Inventory'!$R$6:$R$255,MATCH(SMALL('ISV Inventory'!$AU$6:$AU$255,$A210),'ISV Inventory'!$AU$6:$AU$255,0)),""))</f>
        <v/>
      </c>
      <c r="H210" s="13" t="str">
        <f aca="false">IF($A210="","",IFERROR(INDEX('ISV Inventory'!$X$6:$X$255,MATCH(SMALL('ISV Inventory'!$AU$6:$AU$255,$A210),'ISV Inventory'!$AU$6:$AU$255,0))&amp;"",""))</f>
        <v/>
      </c>
      <c r="I210" s="47" t="str">
        <f aca="false">IF($A210="","",IFERROR(INDEX('ISV Inventory'!$Z$6:$Z$255,MATCH(SMALL('ISV Inventory'!$AU$6:$AU$255,$A210),'ISV Inventory'!$AU$6:$AU$255,0)),""))</f>
        <v/>
      </c>
      <c r="J210" s="13" t="str">
        <f aca="false">IF($A210="","",IFERROR(INDEX('ISV Inventory'!$AG$6:$AG$255,MATCH(SMALL('ISV Inventory'!$AU$6:$AU$255,$A210),'ISV Inventory'!$AU$6:$AU$255,0))&amp;"",""))</f>
        <v/>
      </c>
      <c r="K210" s="13" t="str">
        <f aca="false">IF($A210="","",IFERROR(INDEX('ISV Inventory'!$AK$6:$AK$255,MATCH(SMALL('ISV Inventory'!$AU$6:$AU$255,$A210),'ISV Inventory'!$AU$6:$AU$255,0))&amp;"",""))</f>
        <v/>
      </c>
      <c r="L210" s="13" t="str">
        <f aca="false">IF($A210="","",IFERROR(INDEX('ISV Inventory'!$AR$6:$AR$255,MATCH(SMALL('ISV Inventory'!$AU$6:$AU$255,$A210),'ISV Inventory'!$AU$6:$AU$255,0))&amp;"",""))</f>
        <v/>
      </c>
      <c r="M210" s="13" t="str">
        <f aca="false">IF($A210="","",IFERROR(INDEX('ISV Inventory'!$AS$6:$AS$255,MATCH(SMALL('ISV Inventory'!$AU$6:$AU$255,$A210),'ISV Inventory'!$AU$6:$AU$255,0))&amp;"",""))</f>
        <v/>
      </c>
    </row>
    <row r="211" customFormat="false" ht="15" hidden="false" customHeight="false" outlineLevel="0" collapsed="false">
      <c r="A211" s="13" t="str">
        <f aca="false">IF(COUNT('ISV Inventory'!$AU$6:$AU$255)&lt;207,"",207)</f>
        <v/>
      </c>
      <c r="B211" s="47" t="str">
        <f aca="false">IF($A211="","",IFERROR(INDEX('ISV Inventory'!$V$6:$V$255,MATCH(SMALL('ISV Inventory'!$AU$6:$AU$255,$A211),'ISV Inventory'!$AU$6:$AU$255,0)),""))</f>
        <v/>
      </c>
      <c r="C211" s="48" t="str">
        <f aca="false">IF($A211="","",IFERROR(INDEX('ISV Inventory'!$AA$6:$AA$255,MATCH(SMALL('ISV Inventory'!$AU$6:$AU$255,$A211),'ISV Inventory'!$AU$6:$AU$255,0)),""))</f>
        <v/>
      </c>
      <c r="D211" s="13" t="str">
        <f aca="false">IF($A211="","",IFERROR(INDEX('ISV Inventory'!$AB$6:$AB$255,MATCH(SMALL('ISV Inventory'!$AU$6:$AU$255,$A211),'ISV Inventory'!$AU$6:$AU$255,0))&amp;"",""))</f>
        <v/>
      </c>
      <c r="E211" s="13" t="str">
        <f aca="false">IF($A211="","",IFERROR(INDEX('ISV Inventory'!$B$6:$B$255,MATCH(SMALL('ISV Inventory'!$AU$6:$AU$255,$A211),'ISV Inventory'!$AU$6:$AU$255,0))&amp;"",""))</f>
        <v/>
      </c>
      <c r="F211" s="13" t="str">
        <f aca="false">IF($A211="","",IFERROR(INDEX('ISV Inventory'!$F$6:$F$255,MATCH(SMALL('ISV Inventory'!$AU$6:$AU$255,$A211),'ISV Inventory'!$AU$6:$AU$255,0))&amp;"",""))</f>
        <v/>
      </c>
      <c r="G211" s="49" t="str">
        <f aca="false">IF($A211="","",IFERROR(INDEX('ISV Inventory'!$R$6:$R$255,MATCH(SMALL('ISV Inventory'!$AU$6:$AU$255,$A211),'ISV Inventory'!$AU$6:$AU$255,0)),""))</f>
        <v/>
      </c>
      <c r="H211" s="13" t="str">
        <f aca="false">IF($A211="","",IFERROR(INDEX('ISV Inventory'!$X$6:$X$255,MATCH(SMALL('ISV Inventory'!$AU$6:$AU$255,$A211),'ISV Inventory'!$AU$6:$AU$255,0))&amp;"",""))</f>
        <v/>
      </c>
      <c r="I211" s="47" t="str">
        <f aca="false">IF($A211="","",IFERROR(INDEX('ISV Inventory'!$Z$6:$Z$255,MATCH(SMALL('ISV Inventory'!$AU$6:$AU$255,$A211),'ISV Inventory'!$AU$6:$AU$255,0)),""))</f>
        <v/>
      </c>
      <c r="J211" s="13" t="str">
        <f aca="false">IF($A211="","",IFERROR(INDEX('ISV Inventory'!$AG$6:$AG$255,MATCH(SMALL('ISV Inventory'!$AU$6:$AU$255,$A211),'ISV Inventory'!$AU$6:$AU$255,0))&amp;"",""))</f>
        <v/>
      </c>
      <c r="K211" s="13" t="str">
        <f aca="false">IF($A211="","",IFERROR(INDEX('ISV Inventory'!$AK$6:$AK$255,MATCH(SMALL('ISV Inventory'!$AU$6:$AU$255,$A211),'ISV Inventory'!$AU$6:$AU$255,0))&amp;"",""))</f>
        <v/>
      </c>
      <c r="L211" s="13" t="str">
        <f aca="false">IF($A211="","",IFERROR(INDEX('ISV Inventory'!$AR$6:$AR$255,MATCH(SMALL('ISV Inventory'!$AU$6:$AU$255,$A211),'ISV Inventory'!$AU$6:$AU$255,0))&amp;"",""))</f>
        <v/>
      </c>
      <c r="M211" s="13" t="str">
        <f aca="false">IF($A211="","",IFERROR(INDEX('ISV Inventory'!$AS$6:$AS$255,MATCH(SMALL('ISV Inventory'!$AU$6:$AU$255,$A211),'ISV Inventory'!$AU$6:$AU$255,0))&amp;"",""))</f>
        <v/>
      </c>
    </row>
    <row r="212" customFormat="false" ht="15" hidden="false" customHeight="false" outlineLevel="0" collapsed="false">
      <c r="A212" s="13" t="str">
        <f aca="false">IF(COUNT('ISV Inventory'!$AU$6:$AU$255)&lt;208,"",208)</f>
        <v/>
      </c>
      <c r="B212" s="47" t="str">
        <f aca="false">IF($A212="","",IFERROR(INDEX('ISV Inventory'!$V$6:$V$255,MATCH(SMALL('ISV Inventory'!$AU$6:$AU$255,$A212),'ISV Inventory'!$AU$6:$AU$255,0)),""))</f>
        <v/>
      </c>
      <c r="C212" s="48" t="str">
        <f aca="false">IF($A212="","",IFERROR(INDEX('ISV Inventory'!$AA$6:$AA$255,MATCH(SMALL('ISV Inventory'!$AU$6:$AU$255,$A212),'ISV Inventory'!$AU$6:$AU$255,0)),""))</f>
        <v/>
      </c>
      <c r="D212" s="13" t="str">
        <f aca="false">IF($A212="","",IFERROR(INDEX('ISV Inventory'!$AB$6:$AB$255,MATCH(SMALL('ISV Inventory'!$AU$6:$AU$255,$A212),'ISV Inventory'!$AU$6:$AU$255,0))&amp;"",""))</f>
        <v/>
      </c>
      <c r="E212" s="13" t="str">
        <f aca="false">IF($A212="","",IFERROR(INDEX('ISV Inventory'!$B$6:$B$255,MATCH(SMALL('ISV Inventory'!$AU$6:$AU$255,$A212),'ISV Inventory'!$AU$6:$AU$255,0))&amp;"",""))</f>
        <v/>
      </c>
      <c r="F212" s="13" t="str">
        <f aca="false">IF($A212="","",IFERROR(INDEX('ISV Inventory'!$F$6:$F$255,MATCH(SMALL('ISV Inventory'!$AU$6:$AU$255,$A212),'ISV Inventory'!$AU$6:$AU$255,0))&amp;"",""))</f>
        <v/>
      </c>
      <c r="G212" s="49" t="str">
        <f aca="false">IF($A212="","",IFERROR(INDEX('ISV Inventory'!$R$6:$R$255,MATCH(SMALL('ISV Inventory'!$AU$6:$AU$255,$A212),'ISV Inventory'!$AU$6:$AU$255,0)),""))</f>
        <v/>
      </c>
      <c r="H212" s="13" t="str">
        <f aca="false">IF($A212="","",IFERROR(INDEX('ISV Inventory'!$X$6:$X$255,MATCH(SMALL('ISV Inventory'!$AU$6:$AU$255,$A212),'ISV Inventory'!$AU$6:$AU$255,0))&amp;"",""))</f>
        <v/>
      </c>
      <c r="I212" s="47" t="str">
        <f aca="false">IF($A212="","",IFERROR(INDEX('ISV Inventory'!$Z$6:$Z$255,MATCH(SMALL('ISV Inventory'!$AU$6:$AU$255,$A212),'ISV Inventory'!$AU$6:$AU$255,0)),""))</f>
        <v/>
      </c>
      <c r="J212" s="13" t="str">
        <f aca="false">IF($A212="","",IFERROR(INDEX('ISV Inventory'!$AG$6:$AG$255,MATCH(SMALL('ISV Inventory'!$AU$6:$AU$255,$A212),'ISV Inventory'!$AU$6:$AU$255,0))&amp;"",""))</f>
        <v/>
      </c>
      <c r="K212" s="13" t="str">
        <f aca="false">IF($A212="","",IFERROR(INDEX('ISV Inventory'!$AK$6:$AK$255,MATCH(SMALL('ISV Inventory'!$AU$6:$AU$255,$A212),'ISV Inventory'!$AU$6:$AU$255,0))&amp;"",""))</f>
        <v/>
      </c>
      <c r="L212" s="13" t="str">
        <f aca="false">IF($A212="","",IFERROR(INDEX('ISV Inventory'!$AR$6:$AR$255,MATCH(SMALL('ISV Inventory'!$AU$6:$AU$255,$A212),'ISV Inventory'!$AU$6:$AU$255,0))&amp;"",""))</f>
        <v/>
      </c>
      <c r="M212" s="13" t="str">
        <f aca="false">IF($A212="","",IFERROR(INDEX('ISV Inventory'!$AS$6:$AS$255,MATCH(SMALL('ISV Inventory'!$AU$6:$AU$255,$A212),'ISV Inventory'!$AU$6:$AU$255,0))&amp;"",""))</f>
        <v/>
      </c>
    </row>
    <row r="213" customFormat="false" ht="15" hidden="false" customHeight="false" outlineLevel="0" collapsed="false">
      <c r="A213" s="13" t="str">
        <f aca="false">IF(COUNT('ISV Inventory'!$AU$6:$AU$255)&lt;209,"",209)</f>
        <v/>
      </c>
      <c r="B213" s="47" t="str">
        <f aca="false">IF($A213="","",IFERROR(INDEX('ISV Inventory'!$V$6:$V$255,MATCH(SMALL('ISV Inventory'!$AU$6:$AU$255,$A213),'ISV Inventory'!$AU$6:$AU$255,0)),""))</f>
        <v/>
      </c>
      <c r="C213" s="48" t="str">
        <f aca="false">IF($A213="","",IFERROR(INDEX('ISV Inventory'!$AA$6:$AA$255,MATCH(SMALL('ISV Inventory'!$AU$6:$AU$255,$A213),'ISV Inventory'!$AU$6:$AU$255,0)),""))</f>
        <v/>
      </c>
      <c r="D213" s="13" t="str">
        <f aca="false">IF($A213="","",IFERROR(INDEX('ISV Inventory'!$AB$6:$AB$255,MATCH(SMALL('ISV Inventory'!$AU$6:$AU$255,$A213),'ISV Inventory'!$AU$6:$AU$255,0))&amp;"",""))</f>
        <v/>
      </c>
      <c r="E213" s="13" t="str">
        <f aca="false">IF($A213="","",IFERROR(INDEX('ISV Inventory'!$B$6:$B$255,MATCH(SMALL('ISV Inventory'!$AU$6:$AU$255,$A213),'ISV Inventory'!$AU$6:$AU$255,0))&amp;"",""))</f>
        <v/>
      </c>
      <c r="F213" s="13" t="str">
        <f aca="false">IF($A213="","",IFERROR(INDEX('ISV Inventory'!$F$6:$F$255,MATCH(SMALL('ISV Inventory'!$AU$6:$AU$255,$A213),'ISV Inventory'!$AU$6:$AU$255,0))&amp;"",""))</f>
        <v/>
      </c>
      <c r="G213" s="49" t="str">
        <f aca="false">IF($A213="","",IFERROR(INDEX('ISV Inventory'!$R$6:$R$255,MATCH(SMALL('ISV Inventory'!$AU$6:$AU$255,$A213),'ISV Inventory'!$AU$6:$AU$255,0)),""))</f>
        <v/>
      </c>
      <c r="H213" s="13" t="str">
        <f aca="false">IF($A213="","",IFERROR(INDEX('ISV Inventory'!$X$6:$X$255,MATCH(SMALL('ISV Inventory'!$AU$6:$AU$255,$A213),'ISV Inventory'!$AU$6:$AU$255,0))&amp;"",""))</f>
        <v/>
      </c>
      <c r="I213" s="47" t="str">
        <f aca="false">IF($A213="","",IFERROR(INDEX('ISV Inventory'!$Z$6:$Z$255,MATCH(SMALL('ISV Inventory'!$AU$6:$AU$255,$A213),'ISV Inventory'!$AU$6:$AU$255,0)),""))</f>
        <v/>
      </c>
      <c r="J213" s="13" t="str">
        <f aca="false">IF($A213="","",IFERROR(INDEX('ISV Inventory'!$AG$6:$AG$255,MATCH(SMALL('ISV Inventory'!$AU$6:$AU$255,$A213),'ISV Inventory'!$AU$6:$AU$255,0))&amp;"",""))</f>
        <v/>
      </c>
      <c r="K213" s="13" t="str">
        <f aca="false">IF($A213="","",IFERROR(INDEX('ISV Inventory'!$AK$6:$AK$255,MATCH(SMALL('ISV Inventory'!$AU$6:$AU$255,$A213),'ISV Inventory'!$AU$6:$AU$255,0))&amp;"",""))</f>
        <v/>
      </c>
      <c r="L213" s="13" t="str">
        <f aca="false">IF($A213="","",IFERROR(INDEX('ISV Inventory'!$AR$6:$AR$255,MATCH(SMALL('ISV Inventory'!$AU$6:$AU$255,$A213),'ISV Inventory'!$AU$6:$AU$255,0))&amp;"",""))</f>
        <v/>
      </c>
      <c r="M213" s="13" t="str">
        <f aca="false">IF($A213="","",IFERROR(INDEX('ISV Inventory'!$AS$6:$AS$255,MATCH(SMALL('ISV Inventory'!$AU$6:$AU$255,$A213),'ISV Inventory'!$AU$6:$AU$255,0))&amp;"",""))</f>
        <v/>
      </c>
    </row>
    <row r="214" customFormat="false" ht="15" hidden="false" customHeight="false" outlineLevel="0" collapsed="false">
      <c r="A214" s="13" t="str">
        <f aca="false">IF(COUNT('ISV Inventory'!$AU$6:$AU$255)&lt;210,"",210)</f>
        <v/>
      </c>
      <c r="B214" s="47" t="str">
        <f aca="false">IF($A214="","",IFERROR(INDEX('ISV Inventory'!$V$6:$V$255,MATCH(SMALL('ISV Inventory'!$AU$6:$AU$255,$A214),'ISV Inventory'!$AU$6:$AU$255,0)),""))</f>
        <v/>
      </c>
      <c r="C214" s="48" t="str">
        <f aca="false">IF($A214="","",IFERROR(INDEX('ISV Inventory'!$AA$6:$AA$255,MATCH(SMALL('ISV Inventory'!$AU$6:$AU$255,$A214),'ISV Inventory'!$AU$6:$AU$255,0)),""))</f>
        <v/>
      </c>
      <c r="D214" s="13" t="str">
        <f aca="false">IF($A214="","",IFERROR(INDEX('ISV Inventory'!$AB$6:$AB$255,MATCH(SMALL('ISV Inventory'!$AU$6:$AU$255,$A214),'ISV Inventory'!$AU$6:$AU$255,0))&amp;"",""))</f>
        <v/>
      </c>
      <c r="E214" s="13" t="str">
        <f aca="false">IF($A214="","",IFERROR(INDEX('ISV Inventory'!$B$6:$B$255,MATCH(SMALL('ISV Inventory'!$AU$6:$AU$255,$A214),'ISV Inventory'!$AU$6:$AU$255,0))&amp;"",""))</f>
        <v/>
      </c>
      <c r="F214" s="13" t="str">
        <f aca="false">IF($A214="","",IFERROR(INDEX('ISV Inventory'!$F$6:$F$255,MATCH(SMALL('ISV Inventory'!$AU$6:$AU$255,$A214),'ISV Inventory'!$AU$6:$AU$255,0))&amp;"",""))</f>
        <v/>
      </c>
      <c r="G214" s="49" t="str">
        <f aca="false">IF($A214="","",IFERROR(INDEX('ISV Inventory'!$R$6:$R$255,MATCH(SMALL('ISV Inventory'!$AU$6:$AU$255,$A214),'ISV Inventory'!$AU$6:$AU$255,0)),""))</f>
        <v/>
      </c>
      <c r="H214" s="13" t="str">
        <f aca="false">IF($A214="","",IFERROR(INDEX('ISV Inventory'!$X$6:$X$255,MATCH(SMALL('ISV Inventory'!$AU$6:$AU$255,$A214),'ISV Inventory'!$AU$6:$AU$255,0))&amp;"",""))</f>
        <v/>
      </c>
      <c r="I214" s="47" t="str">
        <f aca="false">IF($A214="","",IFERROR(INDEX('ISV Inventory'!$Z$6:$Z$255,MATCH(SMALL('ISV Inventory'!$AU$6:$AU$255,$A214),'ISV Inventory'!$AU$6:$AU$255,0)),""))</f>
        <v/>
      </c>
      <c r="J214" s="13" t="str">
        <f aca="false">IF($A214="","",IFERROR(INDEX('ISV Inventory'!$AG$6:$AG$255,MATCH(SMALL('ISV Inventory'!$AU$6:$AU$255,$A214),'ISV Inventory'!$AU$6:$AU$255,0))&amp;"",""))</f>
        <v/>
      </c>
      <c r="K214" s="13" t="str">
        <f aca="false">IF($A214="","",IFERROR(INDEX('ISV Inventory'!$AK$6:$AK$255,MATCH(SMALL('ISV Inventory'!$AU$6:$AU$255,$A214),'ISV Inventory'!$AU$6:$AU$255,0))&amp;"",""))</f>
        <v/>
      </c>
      <c r="L214" s="13" t="str">
        <f aca="false">IF($A214="","",IFERROR(INDEX('ISV Inventory'!$AR$6:$AR$255,MATCH(SMALL('ISV Inventory'!$AU$6:$AU$255,$A214),'ISV Inventory'!$AU$6:$AU$255,0))&amp;"",""))</f>
        <v/>
      </c>
      <c r="M214" s="13" t="str">
        <f aca="false">IF($A214="","",IFERROR(INDEX('ISV Inventory'!$AS$6:$AS$255,MATCH(SMALL('ISV Inventory'!$AU$6:$AU$255,$A214),'ISV Inventory'!$AU$6:$AU$255,0))&amp;"",""))</f>
        <v/>
      </c>
    </row>
    <row r="215" customFormat="false" ht="15" hidden="false" customHeight="false" outlineLevel="0" collapsed="false">
      <c r="A215" s="13" t="str">
        <f aca="false">IF(COUNT('ISV Inventory'!$AU$6:$AU$255)&lt;211,"",211)</f>
        <v/>
      </c>
      <c r="B215" s="47" t="str">
        <f aca="false">IF($A215="","",IFERROR(INDEX('ISV Inventory'!$V$6:$V$255,MATCH(SMALL('ISV Inventory'!$AU$6:$AU$255,$A215),'ISV Inventory'!$AU$6:$AU$255,0)),""))</f>
        <v/>
      </c>
      <c r="C215" s="48" t="str">
        <f aca="false">IF($A215="","",IFERROR(INDEX('ISV Inventory'!$AA$6:$AA$255,MATCH(SMALL('ISV Inventory'!$AU$6:$AU$255,$A215),'ISV Inventory'!$AU$6:$AU$255,0)),""))</f>
        <v/>
      </c>
      <c r="D215" s="13" t="str">
        <f aca="false">IF($A215="","",IFERROR(INDEX('ISV Inventory'!$AB$6:$AB$255,MATCH(SMALL('ISV Inventory'!$AU$6:$AU$255,$A215),'ISV Inventory'!$AU$6:$AU$255,0))&amp;"",""))</f>
        <v/>
      </c>
      <c r="E215" s="13" t="str">
        <f aca="false">IF($A215="","",IFERROR(INDEX('ISV Inventory'!$B$6:$B$255,MATCH(SMALL('ISV Inventory'!$AU$6:$AU$255,$A215),'ISV Inventory'!$AU$6:$AU$255,0))&amp;"",""))</f>
        <v/>
      </c>
      <c r="F215" s="13" t="str">
        <f aca="false">IF($A215="","",IFERROR(INDEX('ISV Inventory'!$F$6:$F$255,MATCH(SMALL('ISV Inventory'!$AU$6:$AU$255,$A215),'ISV Inventory'!$AU$6:$AU$255,0))&amp;"",""))</f>
        <v/>
      </c>
      <c r="G215" s="49" t="str">
        <f aca="false">IF($A215="","",IFERROR(INDEX('ISV Inventory'!$R$6:$R$255,MATCH(SMALL('ISV Inventory'!$AU$6:$AU$255,$A215),'ISV Inventory'!$AU$6:$AU$255,0)),""))</f>
        <v/>
      </c>
      <c r="H215" s="13" t="str">
        <f aca="false">IF($A215="","",IFERROR(INDEX('ISV Inventory'!$X$6:$X$255,MATCH(SMALL('ISV Inventory'!$AU$6:$AU$255,$A215),'ISV Inventory'!$AU$6:$AU$255,0))&amp;"",""))</f>
        <v/>
      </c>
      <c r="I215" s="47" t="str">
        <f aca="false">IF($A215="","",IFERROR(INDEX('ISV Inventory'!$Z$6:$Z$255,MATCH(SMALL('ISV Inventory'!$AU$6:$AU$255,$A215),'ISV Inventory'!$AU$6:$AU$255,0)),""))</f>
        <v/>
      </c>
      <c r="J215" s="13" t="str">
        <f aca="false">IF($A215="","",IFERROR(INDEX('ISV Inventory'!$AG$6:$AG$255,MATCH(SMALL('ISV Inventory'!$AU$6:$AU$255,$A215),'ISV Inventory'!$AU$6:$AU$255,0))&amp;"",""))</f>
        <v/>
      </c>
      <c r="K215" s="13" t="str">
        <f aca="false">IF($A215="","",IFERROR(INDEX('ISV Inventory'!$AK$6:$AK$255,MATCH(SMALL('ISV Inventory'!$AU$6:$AU$255,$A215),'ISV Inventory'!$AU$6:$AU$255,0))&amp;"",""))</f>
        <v/>
      </c>
      <c r="L215" s="13" t="str">
        <f aca="false">IF($A215="","",IFERROR(INDEX('ISV Inventory'!$AR$6:$AR$255,MATCH(SMALL('ISV Inventory'!$AU$6:$AU$255,$A215),'ISV Inventory'!$AU$6:$AU$255,0))&amp;"",""))</f>
        <v/>
      </c>
      <c r="M215" s="13" t="str">
        <f aca="false">IF($A215="","",IFERROR(INDEX('ISV Inventory'!$AS$6:$AS$255,MATCH(SMALL('ISV Inventory'!$AU$6:$AU$255,$A215),'ISV Inventory'!$AU$6:$AU$255,0))&amp;"",""))</f>
        <v/>
      </c>
    </row>
    <row r="216" customFormat="false" ht="15" hidden="false" customHeight="false" outlineLevel="0" collapsed="false">
      <c r="A216" s="13" t="str">
        <f aca="false">IF(COUNT('ISV Inventory'!$AU$6:$AU$255)&lt;212,"",212)</f>
        <v/>
      </c>
      <c r="B216" s="47" t="str">
        <f aca="false">IF($A216="","",IFERROR(INDEX('ISV Inventory'!$V$6:$V$255,MATCH(SMALL('ISV Inventory'!$AU$6:$AU$255,$A216),'ISV Inventory'!$AU$6:$AU$255,0)),""))</f>
        <v/>
      </c>
      <c r="C216" s="48" t="str">
        <f aca="false">IF($A216="","",IFERROR(INDEX('ISV Inventory'!$AA$6:$AA$255,MATCH(SMALL('ISV Inventory'!$AU$6:$AU$255,$A216),'ISV Inventory'!$AU$6:$AU$255,0)),""))</f>
        <v/>
      </c>
      <c r="D216" s="13" t="str">
        <f aca="false">IF($A216="","",IFERROR(INDEX('ISV Inventory'!$AB$6:$AB$255,MATCH(SMALL('ISV Inventory'!$AU$6:$AU$255,$A216),'ISV Inventory'!$AU$6:$AU$255,0))&amp;"",""))</f>
        <v/>
      </c>
      <c r="E216" s="13" t="str">
        <f aca="false">IF($A216="","",IFERROR(INDEX('ISV Inventory'!$B$6:$B$255,MATCH(SMALL('ISV Inventory'!$AU$6:$AU$255,$A216),'ISV Inventory'!$AU$6:$AU$255,0))&amp;"",""))</f>
        <v/>
      </c>
      <c r="F216" s="13" t="str">
        <f aca="false">IF($A216="","",IFERROR(INDEX('ISV Inventory'!$F$6:$F$255,MATCH(SMALL('ISV Inventory'!$AU$6:$AU$255,$A216),'ISV Inventory'!$AU$6:$AU$255,0))&amp;"",""))</f>
        <v/>
      </c>
      <c r="G216" s="49" t="str">
        <f aca="false">IF($A216="","",IFERROR(INDEX('ISV Inventory'!$R$6:$R$255,MATCH(SMALL('ISV Inventory'!$AU$6:$AU$255,$A216),'ISV Inventory'!$AU$6:$AU$255,0)),""))</f>
        <v/>
      </c>
      <c r="H216" s="13" t="str">
        <f aca="false">IF($A216="","",IFERROR(INDEX('ISV Inventory'!$X$6:$X$255,MATCH(SMALL('ISV Inventory'!$AU$6:$AU$255,$A216),'ISV Inventory'!$AU$6:$AU$255,0))&amp;"",""))</f>
        <v/>
      </c>
      <c r="I216" s="47" t="str">
        <f aca="false">IF($A216="","",IFERROR(INDEX('ISV Inventory'!$Z$6:$Z$255,MATCH(SMALL('ISV Inventory'!$AU$6:$AU$255,$A216),'ISV Inventory'!$AU$6:$AU$255,0)),""))</f>
        <v/>
      </c>
      <c r="J216" s="13" t="str">
        <f aca="false">IF($A216="","",IFERROR(INDEX('ISV Inventory'!$AG$6:$AG$255,MATCH(SMALL('ISV Inventory'!$AU$6:$AU$255,$A216),'ISV Inventory'!$AU$6:$AU$255,0))&amp;"",""))</f>
        <v/>
      </c>
      <c r="K216" s="13" t="str">
        <f aca="false">IF($A216="","",IFERROR(INDEX('ISV Inventory'!$AK$6:$AK$255,MATCH(SMALL('ISV Inventory'!$AU$6:$AU$255,$A216),'ISV Inventory'!$AU$6:$AU$255,0))&amp;"",""))</f>
        <v/>
      </c>
      <c r="L216" s="13" t="str">
        <f aca="false">IF($A216="","",IFERROR(INDEX('ISV Inventory'!$AR$6:$AR$255,MATCH(SMALL('ISV Inventory'!$AU$6:$AU$255,$A216),'ISV Inventory'!$AU$6:$AU$255,0))&amp;"",""))</f>
        <v/>
      </c>
      <c r="M216" s="13" t="str">
        <f aca="false">IF($A216="","",IFERROR(INDEX('ISV Inventory'!$AS$6:$AS$255,MATCH(SMALL('ISV Inventory'!$AU$6:$AU$255,$A216),'ISV Inventory'!$AU$6:$AU$255,0))&amp;"",""))</f>
        <v/>
      </c>
    </row>
    <row r="217" customFormat="false" ht="15" hidden="false" customHeight="false" outlineLevel="0" collapsed="false">
      <c r="A217" s="13" t="str">
        <f aca="false">IF(COUNT('ISV Inventory'!$AU$6:$AU$255)&lt;213,"",213)</f>
        <v/>
      </c>
      <c r="B217" s="47" t="str">
        <f aca="false">IF($A217="","",IFERROR(INDEX('ISV Inventory'!$V$6:$V$255,MATCH(SMALL('ISV Inventory'!$AU$6:$AU$255,$A217),'ISV Inventory'!$AU$6:$AU$255,0)),""))</f>
        <v/>
      </c>
      <c r="C217" s="48" t="str">
        <f aca="false">IF($A217="","",IFERROR(INDEX('ISV Inventory'!$AA$6:$AA$255,MATCH(SMALL('ISV Inventory'!$AU$6:$AU$255,$A217),'ISV Inventory'!$AU$6:$AU$255,0)),""))</f>
        <v/>
      </c>
      <c r="D217" s="13" t="str">
        <f aca="false">IF($A217="","",IFERROR(INDEX('ISV Inventory'!$AB$6:$AB$255,MATCH(SMALL('ISV Inventory'!$AU$6:$AU$255,$A217),'ISV Inventory'!$AU$6:$AU$255,0))&amp;"",""))</f>
        <v/>
      </c>
      <c r="E217" s="13" t="str">
        <f aca="false">IF($A217="","",IFERROR(INDEX('ISV Inventory'!$B$6:$B$255,MATCH(SMALL('ISV Inventory'!$AU$6:$AU$255,$A217),'ISV Inventory'!$AU$6:$AU$255,0))&amp;"",""))</f>
        <v/>
      </c>
      <c r="F217" s="13" t="str">
        <f aca="false">IF($A217="","",IFERROR(INDEX('ISV Inventory'!$F$6:$F$255,MATCH(SMALL('ISV Inventory'!$AU$6:$AU$255,$A217),'ISV Inventory'!$AU$6:$AU$255,0))&amp;"",""))</f>
        <v/>
      </c>
      <c r="G217" s="49" t="str">
        <f aca="false">IF($A217="","",IFERROR(INDEX('ISV Inventory'!$R$6:$R$255,MATCH(SMALL('ISV Inventory'!$AU$6:$AU$255,$A217),'ISV Inventory'!$AU$6:$AU$255,0)),""))</f>
        <v/>
      </c>
      <c r="H217" s="13" t="str">
        <f aca="false">IF($A217="","",IFERROR(INDEX('ISV Inventory'!$X$6:$X$255,MATCH(SMALL('ISV Inventory'!$AU$6:$AU$255,$A217),'ISV Inventory'!$AU$6:$AU$255,0))&amp;"",""))</f>
        <v/>
      </c>
      <c r="I217" s="47" t="str">
        <f aca="false">IF($A217="","",IFERROR(INDEX('ISV Inventory'!$Z$6:$Z$255,MATCH(SMALL('ISV Inventory'!$AU$6:$AU$255,$A217),'ISV Inventory'!$AU$6:$AU$255,0)),""))</f>
        <v/>
      </c>
      <c r="J217" s="13" t="str">
        <f aca="false">IF($A217="","",IFERROR(INDEX('ISV Inventory'!$AG$6:$AG$255,MATCH(SMALL('ISV Inventory'!$AU$6:$AU$255,$A217),'ISV Inventory'!$AU$6:$AU$255,0))&amp;"",""))</f>
        <v/>
      </c>
      <c r="K217" s="13" t="str">
        <f aca="false">IF($A217="","",IFERROR(INDEX('ISV Inventory'!$AK$6:$AK$255,MATCH(SMALL('ISV Inventory'!$AU$6:$AU$255,$A217),'ISV Inventory'!$AU$6:$AU$255,0))&amp;"",""))</f>
        <v/>
      </c>
      <c r="L217" s="13" t="str">
        <f aca="false">IF($A217="","",IFERROR(INDEX('ISV Inventory'!$AR$6:$AR$255,MATCH(SMALL('ISV Inventory'!$AU$6:$AU$255,$A217),'ISV Inventory'!$AU$6:$AU$255,0))&amp;"",""))</f>
        <v/>
      </c>
      <c r="M217" s="13" t="str">
        <f aca="false">IF($A217="","",IFERROR(INDEX('ISV Inventory'!$AS$6:$AS$255,MATCH(SMALL('ISV Inventory'!$AU$6:$AU$255,$A217),'ISV Inventory'!$AU$6:$AU$255,0))&amp;"",""))</f>
        <v/>
      </c>
    </row>
    <row r="218" customFormat="false" ht="15" hidden="false" customHeight="false" outlineLevel="0" collapsed="false">
      <c r="A218" s="13" t="str">
        <f aca="false">IF(COUNT('ISV Inventory'!$AU$6:$AU$255)&lt;214,"",214)</f>
        <v/>
      </c>
      <c r="B218" s="47" t="str">
        <f aca="false">IF($A218="","",IFERROR(INDEX('ISV Inventory'!$V$6:$V$255,MATCH(SMALL('ISV Inventory'!$AU$6:$AU$255,$A218),'ISV Inventory'!$AU$6:$AU$255,0)),""))</f>
        <v/>
      </c>
      <c r="C218" s="48" t="str">
        <f aca="false">IF($A218="","",IFERROR(INDEX('ISV Inventory'!$AA$6:$AA$255,MATCH(SMALL('ISV Inventory'!$AU$6:$AU$255,$A218),'ISV Inventory'!$AU$6:$AU$255,0)),""))</f>
        <v/>
      </c>
      <c r="D218" s="13" t="str">
        <f aca="false">IF($A218="","",IFERROR(INDEX('ISV Inventory'!$AB$6:$AB$255,MATCH(SMALL('ISV Inventory'!$AU$6:$AU$255,$A218),'ISV Inventory'!$AU$6:$AU$255,0))&amp;"",""))</f>
        <v/>
      </c>
      <c r="E218" s="13" t="str">
        <f aca="false">IF($A218="","",IFERROR(INDEX('ISV Inventory'!$B$6:$B$255,MATCH(SMALL('ISV Inventory'!$AU$6:$AU$255,$A218),'ISV Inventory'!$AU$6:$AU$255,0))&amp;"",""))</f>
        <v/>
      </c>
      <c r="F218" s="13" t="str">
        <f aca="false">IF($A218="","",IFERROR(INDEX('ISV Inventory'!$F$6:$F$255,MATCH(SMALL('ISV Inventory'!$AU$6:$AU$255,$A218),'ISV Inventory'!$AU$6:$AU$255,0))&amp;"",""))</f>
        <v/>
      </c>
      <c r="G218" s="49" t="str">
        <f aca="false">IF($A218="","",IFERROR(INDEX('ISV Inventory'!$R$6:$R$255,MATCH(SMALL('ISV Inventory'!$AU$6:$AU$255,$A218),'ISV Inventory'!$AU$6:$AU$255,0)),""))</f>
        <v/>
      </c>
      <c r="H218" s="13" t="str">
        <f aca="false">IF($A218="","",IFERROR(INDEX('ISV Inventory'!$X$6:$X$255,MATCH(SMALL('ISV Inventory'!$AU$6:$AU$255,$A218),'ISV Inventory'!$AU$6:$AU$255,0))&amp;"",""))</f>
        <v/>
      </c>
      <c r="I218" s="47" t="str">
        <f aca="false">IF($A218="","",IFERROR(INDEX('ISV Inventory'!$Z$6:$Z$255,MATCH(SMALL('ISV Inventory'!$AU$6:$AU$255,$A218),'ISV Inventory'!$AU$6:$AU$255,0)),""))</f>
        <v/>
      </c>
      <c r="J218" s="13" t="str">
        <f aca="false">IF($A218="","",IFERROR(INDEX('ISV Inventory'!$AG$6:$AG$255,MATCH(SMALL('ISV Inventory'!$AU$6:$AU$255,$A218),'ISV Inventory'!$AU$6:$AU$255,0))&amp;"",""))</f>
        <v/>
      </c>
      <c r="K218" s="13" t="str">
        <f aca="false">IF($A218="","",IFERROR(INDEX('ISV Inventory'!$AK$6:$AK$255,MATCH(SMALL('ISV Inventory'!$AU$6:$AU$255,$A218),'ISV Inventory'!$AU$6:$AU$255,0))&amp;"",""))</f>
        <v/>
      </c>
      <c r="L218" s="13" t="str">
        <f aca="false">IF($A218="","",IFERROR(INDEX('ISV Inventory'!$AR$6:$AR$255,MATCH(SMALL('ISV Inventory'!$AU$6:$AU$255,$A218),'ISV Inventory'!$AU$6:$AU$255,0))&amp;"",""))</f>
        <v/>
      </c>
      <c r="M218" s="13" t="str">
        <f aca="false">IF($A218="","",IFERROR(INDEX('ISV Inventory'!$AS$6:$AS$255,MATCH(SMALL('ISV Inventory'!$AU$6:$AU$255,$A218),'ISV Inventory'!$AU$6:$AU$255,0))&amp;"",""))</f>
        <v/>
      </c>
    </row>
    <row r="219" customFormat="false" ht="15" hidden="false" customHeight="false" outlineLevel="0" collapsed="false">
      <c r="A219" s="13" t="str">
        <f aca="false">IF(COUNT('ISV Inventory'!$AU$6:$AU$255)&lt;215,"",215)</f>
        <v/>
      </c>
      <c r="B219" s="47" t="str">
        <f aca="false">IF($A219="","",IFERROR(INDEX('ISV Inventory'!$V$6:$V$255,MATCH(SMALL('ISV Inventory'!$AU$6:$AU$255,$A219),'ISV Inventory'!$AU$6:$AU$255,0)),""))</f>
        <v/>
      </c>
      <c r="C219" s="48" t="str">
        <f aca="false">IF($A219="","",IFERROR(INDEX('ISV Inventory'!$AA$6:$AA$255,MATCH(SMALL('ISV Inventory'!$AU$6:$AU$255,$A219),'ISV Inventory'!$AU$6:$AU$255,0)),""))</f>
        <v/>
      </c>
      <c r="D219" s="13" t="str">
        <f aca="false">IF($A219="","",IFERROR(INDEX('ISV Inventory'!$AB$6:$AB$255,MATCH(SMALL('ISV Inventory'!$AU$6:$AU$255,$A219),'ISV Inventory'!$AU$6:$AU$255,0))&amp;"",""))</f>
        <v/>
      </c>
      <c r="E219" s="13" t="str">
        <f aca="false">IF($A219="","",IFERROR(INDEX('ISV Inventory'!$B$6:$B$255,MATCH(SMALL('ISV Inventory'!$AU$6:$AU$255,$A219),'ISV Inventory'!$AU$6:$AU$255,0))&amp;"",""))</f>
        <v/>
      </c>
      <c r="F219" s="13" t="str">
        <f aca="false">IF($A219="","",IFERROR(INDEX('ISV Inventory'!$F$6:$F$255,MATCH(SMALL('ISV Inventory'!$AU$6:$AU$255,$A219),'ISV Inventory'!$AU$6:$AU$255,0))&amp;"",""))</f>
        <v/>
      </c>
      <c r="G219" s="49" t="str">
        <f aca="false">IF($A219="","",IFERROR(INDEX('ISV Inventory'!$R$6:$R$255,MATCH(SMALL('ISV Inventory'!$AU$6:$AU$255,$A219),'ISV Inventory'!$AU$6:$AU$255,0)),""))</f>
        <v/>
      </c>
      <c r="H219" s="13" t="str">
        <f aca="false">IF($A219="","",IFERROR(INDEX('ISV Inventory'!$X$6:$X$255,MATCH(SMALL('ISV Inventory'!$AU$6:$AU$255,$A219),'ISV Inventory'!$AU$6:$AU$255,0))&amp;"",""))</f>
        <v/>
      </c>
      <c r="I219" s="47" t="str">
        <f aca="false">IF($A219="","",IFERROR(INDEX('ISV Inventory'!$Z$6:$Z$255,MATCH(SMALL('ISV Inventory'!$AU$6:$AU$255,$A219),'ISV Inventory'!$AU$6:$AU$255,0)),""))</f>
        <v/>
      </c>
      <c r="J219" s="13" t="str">
        <f aca="false">IF($A219="","",IFERROR(INDEX('ISV Inventory'!$AG$6:$AG$255,MATCH(SMALL('ISV Inventory'!$AU$6:$AU$255,$A219),'ISV Inventory'!$AU$6:$AU$255,0))&amp;"",""))</f>
        <v/>
      </c>
      <c r="K219" s="13" t="str">
        <f aca="false">IF($A219="","",IFERROR(INDEX('ISV Inventory'!$AK$6:$AK$255,MATCH(SMALL('ISV Inventory'!$AU$6:$AU$255,$A219),'ISV Inventory'!$AU$6:$AU$255,0))&amp;"",""))</f>
        <v/>
      </c>
      <c r="L219" s="13" t="str">
        <f aca="false">IF($A219="","",IFERROR(INDEX('ISV Inventory'!$AR$6:$AR$255,MATCH(SMALL('ISV Inventory'!$AU$6:$AU$255,$A219),'ISV Inventory'!$AU$6:$AU$255,0))&amp;"",""))</f>
        <v/>
      </c>
      <c r="M219" s="13" t="str">
        <f aca="false">IF($A219="","",IFERROR(INDEX('ISV Inventory'!$AS$6:$AS$255,MATCH(SMALL('ISV Inventory'!$AU$6:$AU$255,$A219),'ISV Inventory'!$AU$6:$AU$255,0))&amp;"",""))</f>
        <v/>
      </c>
    </row>
    <row r="220" customFormat="false" ht="15" hidden="false" customHeight="false" outlineLevel="0" collapsed="false">
      <c r="A220" s="13" t="str">
        <f aca="false">IF(COUNT('ISV Inventory'!$AU$6:$AU$255)&lt;216,"",216)</f>
        <v/>
      </c>
      <c r="B220" s="47" t="str">
        <f aca="false">IF($A220="","",IFERROR(INDEX('ISV Inventory'!$V$6:$V$255,MATCH(SMALL('ISV Inventory'!$AU$6:$AU$255,$A220),'ISV Inventory'!$AU$6:$AU$255,0)),""))</f>
        <v/>
      </c>
      <c r="C220" s="48" t="str">
        <f aca="false">IF($A220="","",IFERROR(INDEX('ISV Inventory'!$AA$6:$AA$255,MATCH(SMALL('ISV Inventory'!$AU$6:$AU$255,$A220),'ISV Inventory'!$AU$6:$AU$255,0)),""))</f>
        <v/>
      </c>
      <c r="D220" s="13" t="str">
        <f aca="false">IF($A220="","",IFERROR(INDEX('ISV Inventory'!$AB$6:$AB$255,MATCH(SMALL('ISV Inventory'!$AU$6:$AU$255,$A220),'ISV Inventory'!$AU$6:$AU$255,0))&amp;"",""))</f>
        <v/>
      </c>
      <c r="E220" s="13" t="str">
        <f aca="false">IF($A220="","",IFERROR(INDEX('ISV Inventory'!$B$6:$B$255,MATCH(SMALL('ISV Inventory'!$AU$6:$AU$255,$A220),'ISV Inventory'!$AU$6:$AU$255,0))&amp;"",""))</f>
        <v/>
      </c>
      <c r="F220" s="13" t="str">
        <f aca="false">IF($A220="","",IFERROR(INDEX('ISV Inventory'!$F$6:$F$255,MATCH(SMALL('ISV Inventory'!$AU$6:$AU$255,$A220),'ISV Inventory'!$AU$6:$AU$255,0))&amp;"",""))</f>
        <v/>
      </c>
      <c r="G220" s="49" t="str">
        <f aca="false">IF($A220="","",IFERROR(INDEX('ISV Inventory'!$R$6:$R$255,MATCH(SMALL('ISV Inventory'!$AU$6:$AU$255,$A220),'ISV Inventory'!$AU$6:$AU$255,0)),""))</f>
        <v/>
      </c>
      <c r="H220" s="13" t="str">
        <f aca="false">IF($A220="","",IFERROR(INDEX('ISV Inventory'!$X$6:$X$255,MATCH(SMALL('ISV Inventory'!$AU$6:$AU$255,$A220),'ISV Inventory'!$AU$6:$AU$255,0))&amp;"",""))</f>
        <v/>
      </c>
      <c r="I220" s="47" t="str">
        <f aca="false">IF($A220="","",IFERROR(INDEX('ISV Inventory'!$Z$6:$Z$255,MATCH(SMALL('ISV Inventory'!$AU$6:$AU$255,$A220),'ISV Inventory'!$AU$6:$AU$255,0)),""))</f>
        <v/>
      </c>
      <c r="J220" s="13" t="str">
        <f aca="false">IF($A220="","",IFERROR(INDEX('ISV Inventory'!$AG$6:$AG$255,MATCH(SMALL('ISV Inventory'!$AU$6:$AU$255,$A220),'ISV Inventory'!$AU$6:$AU$255,0))&amp;"",""))</f>
        <v/>
      </c>
      <c r="K220" s="13" t="str">
        <f aca="false">IF($A220="","",IFERROR(INDEX('ISV Inventory'!$AK$6:$AK$255,MATCH(SMALL('ISV Inventory'!$AU$6:$AU$255,$A220),'ISV Inventory'!$AU$6:$AU$255,0))&amp;"",""))</f>
        <v/>
      </c>
      <c r="L220" s="13" t="str">
        <f aca="false">IF($A220="","",IFERROR(INDEX('ISV Inventory'!$AR$6:$AR$255,MATCH(SMALL('ISV Inventory'!$AU$6:$AU$255,$A220),'ISV Inventory'!$AU$6:$AU$255,0))&amp;"",""))</f>
        <v/>
      </c>
      <c r="M220" s="13" t="str">
        <f aca="false">IF($A220="","",IFERROR(INDEX('ISV Inventory'!$AS$6:$AS$255,MATCH(SMALL('ISV Inventory'!$AU$6:$AU$255,$A220),'ISV Inventory'!$AU$6:$AU$255,0))&amp;"",""))</f>
        <v/>
      </c>
    </row>
    <row r="221" customFormat="false" ht="15" hidden="false" customHeight="false" outlineLevel="0" collapsed="false">
      <c r="A221" s="13" t="str">
        <f aca="false">IF(COUNT('ISV Inventory'!$AU$6:$AU$255)&lt;217,"",217)</f>
        <v/>
      </c>
      <c r="B221" s="47" t="str">
        <f aca="false">IF($A221="","",IFERROR(INDEX('ISV Inventory'!$V$6:$V$255,MATCH(SMALL('ISV Inventory'!$AU$6:$AU$255,$A221),'ISV Inventory'!$AU$6:$AU$255,0)),""))</f>
        <v/>
      </c>
      <c r="C221" s="48" t="str">
        <f aca="false">IF($A221="","",IFERROR(INDEX('ISV Inventory'!$AA$6:$AA$255,MATCH(SMALL('ISV Inventory'!$AU$6:$AU$255,$A221),'ISV Inventory'!$AU$6:$AU$255,0)),""))</f>
        <v/>
      </c>
      <c r="D221" s="13" t="str">
        <f aca="false">IF($A221="","",IFERROR(INDEX('ISV Inventory'!$AB$6:$AB$255,MATCH(SMALL('ISV Inventory'!$AU$6:$AU$255,$A221),'ISV Inventory'!$AU$6:$AU$255,0))&amp;"",""))</f>
        <v/>
      </c>
      <c r="E221" s="13" t="str">
        <f aca="false">IF($A221="","",IFERROR(INDEX('ISV Inventory'!$B$6:$B$255,MATCH(SMALL('ISV Inventory'!$AU$6:$AU$255,$A221),'ISV Inventory'!$AU$6:$AU$255,0))&amp;"",""))</f>
        <v/>
      </c>
      <c r="F221" s="13" t="str">
        <f aca="false">IF($A221="","",IFERROR(INDEX('ISV Inventory'!$F$6:$F$255,MATCH(SMALL('ISV Inventory'!$AU$6:$AU$255,$A221),'ISV Inventory'!$AU$6:$AU$255,0))&amp;"",""))</f>
        <v/>
      </c>
      <c r="G221" s="49" t="str">
        <f aca="false">IF($A221="","",IFERROR(INDEX('ISV Inventory'!$R$6:$R$255,MATCH(SMALL('ISV Inventory'!$AU$6:$AU$255,$A221),'ISV Inventory'!$AU$6:$AU$255,0)),""))</f>
        <v/>
      </c>
      <c r="H221" s="13" t="str">
        <f aca="false">IF($A221="","",IFERROR(INDEX('ISV Inventory'!$X$6:$X$255,MATCH(SMALL('ISV Inventory'!$AU$6:$AU$255,$A221),'ISV Inventory'!$AU$6:$AU$255,0))&amp;"",""))</f>
        <v/>
      </c>
      <c r="I221" s="47" t="str">
        <f aca="false">IF($A221="","",IFERROR(INDEX('ISV Inventory'!$Z$6:$Z$255,MATCH(SMALL('ISV Inventory'!$AU$6:$AU$255,$A221),'ISV Inventory'!$AU$6:$AU$255,0)),""))</f>
        <v/>
      </c>
      <c r="J221" s="13" t="str">
        <f aca="false">IF($A221="","",IFERROR(INDEX('ISV Inventory'!$AG$6:$AG$255,MATCH(SMALL('ISV Inventory'!$AU$6:$AU$255,$A221),'ISV Inventory'!$AU$6:$AU$255,0))&amp;"",""))</f>
        <v/>
      </c>
      <c r="K221" s="13" t="str">
        <f aca="false">IF($A221="","",IFERROR(INDEX('ISV Inventory'!$AK$6:$AK$255,MATCH(SMALL('ISV Inventory'!$AU$6:$AU$255,$A221),'ISV Inventory'!$AU$6:$AU$255,0))&amp;"",""))</f>
        <v/>
      </c>
      <c r="L221" s="13" t="str">
        <f aca="false">IF($A221="","",IFERROR(INDEX('ISV Inventory'!$AR$6:$AR$255,MATCH(SMALL('ISV Inventory'!$AU$6:$AU$255,$A221),'ISV Inventory'!$AU$6:$AU$255,0))&amp;"",""))</f>
        <v/>
      </c>
      <c r="M221" s="13" t="str">
        <f aca="false">IF($A221="","",IFERROR(INDEX('ISV Inventory'!$AS$6:$AS$255,MATCH(SMALL('ISV Inventory'!$AU$6:$AU$255,$A221),'ISV Inventory'!$AU$6:$AU$255,0))&amp;"",""))</f>
        <v/>
      </c>
    </row>
    <row r="222" customFormat="false" ht="15" hidden="false" customHeight="false" outlineLevel="0" collapsed="false">
      <c r="A222" s="13" t="str">
        <f aca="false">IF(COUNT('ISV Inventory'!$AU$6:$AU$255)&lt;218,"",218)</f>
        <v/>
      </c>
      <c r="B222" s="47" t="str">
        <f aca="false">IF($A222="","",IFERROR(INDEX('ISV Inventory'!$V$6:$V$255,MATCH(SMALL('ISV Inventory'!$AU$6:$AU$255,$A222),'ISV Inventory'!$AU$6:$AU$255,0)),""))</f>
        <v/>
      </c>
      <c r="C222" s="48" t="str">
        <f aca="false">IF($A222="","",IFERROR(INDEX('ISV Inventory'!$AA$6:$AA$255,MATCH(SMALL('ISV Inventory'!$AU$6:$AU$255,$A222),'ISV Inventory'!$AU$6:$AU$255,0)),""))</f>
        <v/>
      </c>
      <c r="D222" s="13" t="str">
        <f aca="false">IF($A222="","",IFERROR(INDEX('ISV Inventory'!$AB$6:$AB$255,MATCH(SMALL('ISV Inventory'!$AU$6:$AU$255,$A222),'ISV Inventory'!$AU$6:$AU$255,0))&amp;"",""))</f>
        <v/>
      </c>
      <c r="E222" s="13" t="str">
        <f aca="false">IF($A222="","",IFERROR(INDEX('ISV Inventory'!$B$6:$B$255,MATCH(SMALL('ISV Inventory'!$AU$6:$AU$255,$A222),'ISV Inventory'!$AU$6:$AU$255,0))&amp;"",""))</f>
        <v/>
      </c>
      <c r="F222" s="13" t="str">
        <f aca="false">IF($A222="","",IFERROR(INDEX('ISV Inventory'!$F$6:$F$255,MATCH(SMALL('ISV Inventory'!$AU$6:$AU$255,$A222),'ISV Inventory'!$AU$6:$AU$255,0))&amp;"",""))</f>
        <v/>
      </c>
      <c r="G222" s="49" t="str">
        <f aca="false">IF($A222="","",IFERROR(INDEX('ISV Inventory'!$R$6:$R$255,MATCH(SMALL('ISV Inventory'!$AU$6:$AU$255,$A222),'ISV Inventory'!$AU$6:$AU$255,0)),""))</f>
        <v/>
      </c>
      <c r="H222" s="13" t="str">
        <f aca="false">IF($A222="","",IFERROR(INDEX('ISV Inventory'!$X$6:$X$255,MATCH(SMALL('ISV Inventory'!$AU$6:$AU$255,$A222),'ISV Inventory'!$AU$6:$AU$255,0))&amp;"",""))</f>
        <v/>
      </c>
      <c r="I222" s="47" t="str">
        <f aca="false">IF($A222="","",IFERROR(INDEX('ISV Inventory'!$Z$6:$Z$255,MATCH(SMALL('ISV Inventory'!$AU$6:$AU$255,$A222),'ISV Inventory'!$AU$6:$AU$255,0)),""))</f>
        <v/>
      </c>
      <c r="J222" s="13" t="str">
        <f aca="false">IF($A222="","",IFERROR(INDEX('ISV Inventory'!$AG$6:$AG$255,MATCH(SMALL('ISV Inventory'!$AU$6:$AU$255,$A222),'ISV Inventory'!$AU$6:$AU$255,0))&amp;"",""))</f>
        <v/>
      </c>
      <c r="K222" s="13" t="str">
        <f aca="false">IF($A222="","",IFERROR(INDEX('ISV Inventory'!$AK$6:$AK$255,MATCH(SMALL('ISV Inventory'!$AU$6:$AU$255,$A222),'ISV Inventory'!$AU$6:$AU$255,0))&amp;"",""))</f>
        <v/>
      </c>
      <c r="L222" s="13" t="str">
        <f aca="false">IF($A222="","",IFERROR(INDEX('ISV Inventory'!$AR$6:$AR$255,MATCH(SMALL('ISV Inventory'!$AU$6:$AU$255,$A222),'ISV Inventory'!$AU$6:$AU$255,0))&amp;"",""))</f>
        <v/>
      </c>
      <c r="M222" s="13" t="str">
        <f aca="false">IF($A222="","",IFERROR(INDEX('ISV Inventory'!$AS$6:$AS$255,MATCH(SMALL('ISV Inventory'!$AU$6:$AU$255,$A222),'ISV Inventory'!$AU$6:$AU$255,0))&amp;"",""))</f>
        <v/>
      </c>
    </row>
    <row r="223" customFormat="false" ht="15" hidden="false" customHeight="false" outlineLevel="0" collapsed="false">
      <c r="A223" s="13" t="str">
        <f aca="false">IF(COUNT('ISV Inventory'!$AU$6:$AU$255)&lt;219,"",219)</f>
        <v/>
      </c>
      <c r="B223" s="47" t="str">
        <f aca="false">IF($A223="","",IFERROR(INDEX('ISV Inventory'!$V$6:$V$255,MATCH(SMALL('ISV Inventory'!$AU$6:$AU$255,$A223),'ISV Inventory'!$AU$6:$AU$255,0)),""))</f>
        <v/>
      </c>
      <c r="C223" s="48" t="str">
        <f aca="false">IF($A223="","",IFERROR(INDEX('ISV Inventory'!$AA$6:$AA$255,MATCH(SMALL('ISV Inventory'!$AU$6:$AU$255,$A223),'ISV Inventory'!$AU$6:$AU$255,0)),""))</f>
        <v/>
      </c>
      <c r="D223" s="13" t="str">
        <f aca="false">IF($A223="","",IFERROR(INDEX('ISV Inventory'!$AB$6:$AB$255,MATCH(SMALL('ISV Inventory'!$AU$6:$AU$255,$A223),'ISV Inventory'!$AU$6:$AU$255,0))&amp;"",""))</f>
        <v/>
      </c>
      <c r="E223" s="13" t="str">
        <f aca="false">IF($A223="","",IFERROR(INDEX('ISV Inventory'!$B$6:$B$255,MATCH(SMALL('ISV Inventory'!$AU$6:$AU$255,$A223),'ISV Inventory'!$AU$6:$AU$255,0))&amp;"",""))</f>
        <v/>
      </c>
      <c r="F223" s="13" t="str">
        <f aca="false">IF($A223="","",IFERROR(INDEX('ISV Inventory'!$F$6:$F$255,MATCH(SMALL('ISV Inventory'!$AU$6:$AU$255,$A223),'ISV Inventory'!$AU$6:$AU$255,0))&amp;"",""))</f>
        <v/>
      </c>
      <c r="G223" s="49" t="str">
        <f aca="false">IF($A223="","",IFERROR(INDEX('ISV Inventory'!$R$6:$R$255,MATCH(SMALL('ISV Inventory'!$AU$6:$AU$255,$A223),'ISV Inventory'!$AU$6:$AU$255,0)),""))</f>
        <v/>
      </c>
      <c r="H223" s="13" t="str">
        <f aca="false">IF($A223="","",IFERROR(INDEX('ISV Inventory'!$X$6:$X$255,MATCH(SMALL('ISV Inventory'!$AU$6:$AU$255,$A223),'ISV Inventory'!$AU$6:$AU$255,0))&amp;"",""))</f>
        <v/>
      </c>
      <c r="I223" s="47" t="str">
        <f aca="false">IF($A223="","",IFERROR(INDEX('ISV Inventory'!$Z$6:$Z$255,MATCH(SMALL('ISV Inventory'!$AU$6:$AU$255,$A223),'ISV Inventory'!$AU$6:$AU$255,0)),""))</f>
        <v/>
      </c>
      <c r="J223" s="13" t="str">
        <f aca="false">IF($A223="","",IFERROR(INDEX('ISV Inventory'!$AG$6:$AG$255,MATCH(SMALL('ISV Inventory'!$AU$6:$AU$255,$A223),'ISV Inventory'!$AU$6:$AU$255,0))&amp;"",""))</f>
        <v/>
      </c>
      <c r="K223" s="13" t="str">
        <f aca="false">IF($A223="","",IFERROR(INDEX('ISV Inventory'!$AK$6:$AK$255,MATCH(SMALL('ISV Inventory'!$AU$6:$AU$255,$A223),'ISV Inventory'!$AU$6:$AU$255,0))&amp;"",""))</f>
        <v/>
      </c>
      <c r="L223" s="13" t="str">
        <f aca="false">IF($A223="","",IFERROR(INDEX('ISV Inventory'!$AR$6:$AR$255,MATCH(SMALL('ISV Inventory'!$AU$6:$AU$255,$A223),'ISV Inventory'!$AU$6:$AU$255,0))&amp;"",""))</f>
        <v/>
      </c>
      <c r="M223" s="13" t="str">
        <f aca="false">IF($A223="","",IFERROR(INDEX('ISV Inventory'!$AS$6:$AS$255,MATCH(SMALL('ISV Inventory'!$AU$6:$AU$255,$A223),'ISV Inventory'!$AU$6:$AU$255,0))&amp;"",""))</f>
        <v/>
      </c>
    </row>
    <row r="224" customFormat="false" ht="15" hidden="false" customHeight="false" outlineLevel="0" collapsed="false">
      <c r="A224" s="13" t="str">
        <f aca="false">IF(COUNT('ISV Inventory'!$AU$6:$AU$255)&lt;220,"",220)</f>
        <v/>
      </c>
      <c r="B224" s="47" t="str">
        <f aca="false">IF($A224="","",IFERROR(INDEX('ISV Inventory'!$V$6:$V$255,MATCH(SMALL('ISV Inventory'!$AU$6:$AU$255,$A224),'ISV Inventory'!$AU$6:$AU$255,0)),""))</f>
        <v/>
      </c>
      <c r="C224" s="48" t="str">
        <f aca="false">IF($A224="","",IFERROR(INDEX('ISV Inventory'!$AA$6:$AA$255,MATCH(SMALL('ISV Inventory'!$AU$6:$AU$255,$A224),'ISV Inventory'!$AU$6:$AU$255,0)),""))</f>
        <v/>
      </c>
      <c r="D224" s="13" t="str">
        <f aca="false">IF($A224="","",IFERROR(INDEX('ISV Inventory'!$AB$6:$AB$255,MATCH(SMALL('ISV Inventory'!$AU$6:$AU$255,$A224),'ISV Inventory'!$AU$6:$AU$255,0))&amp;"",""))</f>
        <v/>
      </c>
      <c r="E224" s="13" t="str">
        <f aca="false">IF($A224="","",IFERROR(INDEX('ISV Inventory'!$B$6:$B$255,MATCH(SMALL('ISV Inventory'!$AU$6:$AU$255,$A224),'ISV Inventory'!$AU$6:$AU$255,0))&amp;"",""))</f>
        <v/>
      </c>
      <c r="F224" s="13" t="str">
        <f aca="false">IF($A224="","",IFERROR(INDEX('ISV Inventory'!$F$6:$F$255,MATCH(SMALL('ISV Inventory'!$AU$6:$AU$255,$A224),'ISV Inventory'!$AU$6:$AU$255,0))&amp;"",""))</f>
        <v/>
      </c>
      <c r="G224" s="49" t="str">
        <f aca="false">IF($A224="","",IFERROR(INDEX('ISV Inventory'!$R$6:$R$255,MATCH(SMALL('ISV Inventory'!$AU$6:$AU$255,$A224),'ISV Inventory'!$AU$6:$AU$255,0)),""))</f>
        <v/>
      </c>
      <c r="H224" s="13" t="str">
        <f aca="false">IF($A224="","",IFERROR(INDEX('ISV Inventory'!$X$6:$X$255,MATCH(SMALL('ISV Inventory'!$AU$6:$AU$255,$A224),'ISV Inventory'!$AU$6:$AU$255,0))&amp;"",""))</f>
        <v/>
      </c>
      <c r="I224" s="47" t="str">
        <f aca="false">IF($A224="","",IFERROR(INDEX('ISV Inventory'!$Z$6:$Z$255,MATCH(SMALL('ISV Inventory'!$AU$6:$AU$255,$A224),'ISV Inventory'!$AU$6:$AU$255,0)),""))</f>
        <v/>
      </c>
      <c r="J224" s="13" t="str">
        <f aca="false">IF($A224="","",IFERROR(INDEX('ISV Inventory'!$AG$6:$AG$255,MATCH(SMALL('ISV Inventory'!$AU$6:$AU$255,$A224),'ISV Inventory'!$AU$6:$AU$255,0))&amp;"",""))</f>
        <v/>
      </c>
      <c r="K224" s="13" t="str">
        <f aca="false">IF($A224="","",IFERROR(INDEX('ISV Inventory'!$AK$6:$AK$255,MATCH(SMALL('ISV Inventory'!$AU$6:$AU$255,$A224),'ISV Inventory'!$AU$6:$AU$255,0))&amp;"",""))</f>
        <v/>
      </c>
      <c r="L224" s="13" t="str">
        <f aca="false">IF($A224="","",IFERROR(INDEX('ISV Inventory'!$AR$6:$AR$255,MATCH(SMALL('ISV Inventory'!$AU$6:$AU$255,$A224),'ISV Inventory'!$AU$6:$AU$255,0))&amp;"",""))</f>
        <v/>
      </c>
      <c r="M224" s="13" t="str">
        <f aca="false">IF($A224="","",IFERROR(INDEX('ISV Inventory'!$AS$6:$AS$255,MATCH(SMALL('ISV Inventory'!$AU$6:$AU$255,$A224),'ISV Inventory'!$AU$6:$AU$255,0))&amp;"",""))</f>
        <v/>
      </c>
    </row>
    <row r="225" customFormat="false" ht="15" hidden="false" customHeight="false" outlineLevel="0" collapsed="false">
      <c r="A225" s="13" t="str">
        <f aca="false">IF(COUNT('ISV Inventory'!$AU$6:$AU$255)&lt;221,"",221)</f>
        <v/>
      </c>
      <c r="B225" s="47" t="str">
        <f aca="false">IF($A225="","",IFERROR(INDEX('ISV Inventory'!$V$6:$V$255,MATCH(SMALL('ISV Inventory'!$AU$6:$AU$255,$A225),'ISV Inventory'!$AU$6:$AU$255,0)),""))</f>
        <v/>
      </c>
      <c r="C225" s="48" t="str">
        <f aca="false">IF($A225="","",IFERROR(INDEX('ISV Inventory'!$AA$6:$AA$255,MATCH(SMALL('ISV Inventory'!$AU$6:$AU$255,$A225),'ISV Inventory'!$AU$6:$AU$255,0)),""))</f>
        <v/>
      </c>
      <c r="D225" s="13" t="str">
        <f aca="false">IF($A225="","",IFERROR(INDEX('ISV Inventory'!$AB$6:$AB$255,MATCH(SMALL('ISV Inventory'!$AU$6:$AU$255,$A225),'ISV Inventory'!$AU$6:$AU$255,0))&amp;"",""))</f>
        <v/>
      </c>
      <c r="E225" s="13" t="str">
        <f aca="false">IF($A225="","",IFERROR(INDEX('ISV Inventory'!$B$6:$B$255,MATCH(SMALL('ISV Inventory'!$AU$6:$AU$255,$A225),'ISV Inventory'!$AU$6:$AU$255,0))&amp;"",""))</f>
        <v/>
      </c>
      <c r="F225" s="13" t="str">
        <f aca="false">IF($A225="","",IFERROR(INDEX('ISV Inventory'!$F$6:$F$255,MATCH(SMALL('ISV Inventory'!$AU$6:$AU$255,$A225),'ISV Inventory'!$AU$6:$AU$255,0))&amp;"",""))</f>
        <v/>
      </c>
      <c r="G225" s="49" t="str">
        <f aca="false">IF($A225="","",IFERROR(INDEX('ISV Inventory'!$R$6:$R$255,MATCH(SMALL('ISV Inventory'!$AU$6:$AU$255,$A225),'ISV Inventory'!$AU$6:$AU$255,0)),""))</f>
        <v/>
      </c>
      <c r="H225" s="13" t="str">
        <f aca="false">IF($A225="","",IFERROR(INDEX('ISV Inventory'!$X$6:$X$255,MATCH(SMALL('ISV Inventory'!$AU$6:$AU$255,$A225),'ISV Inventory'!$AU$6:$AU$255,0))&amp;"",""))</f>
        <v/>
      </c>
      <c r="I225" s="47" t="str">
        <f aca="false">IF($A225="","",IFERROR(INDEX('ISV Inventory'!$Z$6:$Z$255,MATCH(SMALL('ISV Inventory'!$AU$6:$AU$255,$A225),'ISV Inventory'!$AU$6:$AU$255,0)),""))</f>
        <v/>
      </c>
      <c r="J225" s="13" t="str">
        <f aca="false">IF($A225="","",IFERROR(INDEX('ISV Inventory'!$AG$6:$AG$255,MATCH(SMALL('ISV Inventory'!$AU$6:$AU$255,$A225),'ISV Inventory'!$AU$6:$AU$255,0))&amp;"",""))</f>
        <v/>
      </c>
      <c r="K225" s="13" t="str">
        <f aca="false">IF($A225="","",IFERROR(INDEX('ISV Inventory'!$AK$6:$AK$255,MATCH(SMALL('ISV Inventory'!$AU$6:$AU$255,$A225),'ISV Inventory'!$AU$6:$AU$255,0))&amp;"",""))</f>
        <v/>
      </c>
      <c r="L225" s="13" t="str">
        <f aca="false">IF($A225="","",IFERROR(INDEX('ISV Inventory'!$AR$6:$AR$255,MATCH(SMALL('ISV Inventory'!$AU$6:$AU$255,$A225),'ISV Inventory'!$AU$6:$AU$255,0))&amp;"",""))</f>
        <v/>
      </c>
      <c r="M225" s="13" t="str">
        <f aca="false">IF($A225="","",IFERROR(INDEX('ISV Inventory'!$AS$6:$AS$255,MATCH(SMALL('ISV Inventory'!$AU$6:$AU$255,$A225),'ISV Inventory'!$AU$6:$AU$255,0))&amp;"",""))</f>
        <v/>
      </c>
    </row>
    <row r="226" customFormat="false" ht="15" hidden="false" customHeight="false" outlineLevel="0" collapsed="false">
      <c r="A226" s="13" t="str">
        <f aca="false">IF(COUNT('ISV Inventory'!$AU$6:$AU$255)&lt;222,"",222)</f>
        <v/>
      </c>
      <c r="B226" s="47" t="str">
        <f aca="false">IF($A226="","",IFERROR(INDEX('ISV Inventory'!$V$6:$V$255,MATCH(SMALL('ISV Inventory'!$AU$6:$AU$255,$A226),'ISV Inventory'!$AU$6:$AU$255,0)),""))</f>
        <v/>
      </c>
      <c r="C226" s="48" t="str">
        <f aca="false">IF($A226="","",IFERROR(INDEX('ISV Inventory'!$AA$6:$AA$255,MATCH(SMALL('ISV Inventory'!$AU$6:$AU$255,$A226),'ISV Inventory'!$AU$6:$AU$255,0)),""))</f>
        <v/>
      </c>
      <c r="D226" s="13" t="str">
        <f aca="false">IF($A226="","",IFERROR(INDEX('ISV Inventory'!$AB$6:$AB$255,MATCH(SMALL('ISV Inventory'!$AU$6:$AU$255,$A226),'ISV Inventory'!$AU$6:$AU$255,0))&amp;"",""))</f>
        <v/>
      </c>
      <c r="E226" s="13" t="str">
        <f aca="false">IF($A226="","",IFERROR(INDEX('ISV Inventory'!$B$6:$B$255,MATCH(SMALL('ISV Inventory'!$AU$6:$AU$255,$A226),'ISV Inventory'!$AU$6:$AU$255,0))&amp;"",""))</f>
        <v/>
      </c>
      <c r="F226" s="13" t="str">
        <f aca="false">IF($A226="","",IFERROR(INDEX('ISV Inventory'!$F$6:$F$255,MATCH(SMALL('ISV Inventory'!$AU$6:$AU$255,$A226),'ISV Inventory'!$AU$6:$AU$255,0))&amp;"",""))</f>
        <v/>
      </c>
      <c r="G226" s="49" t="str">
        <f aca="false">IF($A226="","",IFERROR(INDEX('ISV Inventory'!$R$6:$R$255,MATCH(SMALL('ISV Inventory'!$AU$6:$AU$255,$A226),'ISV Inventory'!$AU$6:$AU$255,0)),""))</f>
        <v/>
      </c>
      <c r="H226" s="13" t="str">
        <f aca="false">IF($A226="","",IFERROR(INDEX('ISV Inventory'!$X$6:$X$255,MATCH(SMALL('ISV Inventory'!$AU$6:$AU$255,$A226),'ISV Inventory'!$AU$6:$AU$255,0))&amp;"",""))</f>
        <v/>
      </c>
      <c r="I226" s="47" t="str">
        <f aca="false">IF($A226="","",IFERROR(INDEX('ISV Inventory'!$Z$6:$Z$255,MATCH(SMALL('ISV Inventory'!$AU$6:$AU$255,$A226),'ISV Inventory'!$AU$6:$AU$255,0)),""))</f>
        <v/>
      </c>
      <c r="J226" s="13" t="str">
        <f aca="false">IF($A226="","",IFERROR(INDEX('ISV Inventory'!$AG$6:$AG$255,MATCH(SMALL('ISV Inventory'!$AU$6:$AU$255,$A226),'ISV Inventory'!$AU$6:$AU$255,0))&amp;"",""))</f>
        <v/>
      </c>
      <c r="K226" s="13" t="str">
        <f aca="false">IF($A226="","",IFERROR(INDEX('ISV Inventory'!$AK$6:$AK$255,MATCH(SMALL('ISV Inventory'!$AU$6:$AU$255,$A226),'ISV Inventory'!$AU$6:$AU$255,0))&amp;"",""))</f>
        <v/>
      </c>
      <c r="L226" s="13" t="str">
        <f aca="false">IF($A226="","",IFERROR(INDEX('ISV Inventory'!$AR$6:$AR$255,MATCH(SMALL('ISV Inventory'!$AU$6:$AU$255,$A226),'ISV Inventory'!$AU$6:$AU$255,0))&amp;"",""))</f>
        <v/>
      </c>
      <c r="M226" s="13" t="str">
        <f aca="false">IF($A226="","",IFERROR(INDEX('ISV Inventory'!$AS$6:$AS$255,MATCH(SMALL('ISV Inventory'!$AU$6:$AU$255,$A226),'ISV Inventory'!$AU$6:$AU$255,0))&amp;"",""))</f>
        <v/>
      </c>
    </row>
    <row r="227" customFormat="false" ht="15" hidden="false" customHeight="false" outlineLevel="0" collapsed="false">
      <c r="A227" s="13" t="str">
        <f aca="false">IF(COUNT('ISV Inventory'!$AU$6:$AU$255)&lt;223,"",223)</f>
        <v/>
      </c>
      <c r="B227" s="47" t="str">
        <f aca="false">IF($A227="","",IFERROR(INDEX('ISV Inventory'!$V$6:$V$255,MATCH(SMALL('ISV Inventory'!$AU$6:$AU$255,$A227),'ISV Inventory'!$AU$6:$AU$255,0)),""))</f>
        <v/>
      </c>
      <c r="C227" s="48" t="str">
        <f aca="false">IF($A227="","",IFERROR(INDEX('ISV Inventory'!$AA$6:$AA$255,MATCH(SMALL('ISV Inventory'!$AU$6:$AU$255,$A227),'ISV Inventory'!$AU$6:$AU$255,0)),""))</f>
        <v/>
      </c>
      <c r="D227" s="13" t="str">
        <f aca="false">IF($A227="","",IFERROR(INDEX('ISV Inventory'!$AB$6:$AB$255,MATCH(SMALL('ISV Inventory'!$AU$6:$AU$255,$A227),'ISV Inventory'!$AU$6:$AU$255,0))&amp;"",""))</f>
        <v/>
      </c>
      <c r="E227" s="13" t="str">
        <f aca="false">IF($A227="","",IFERROR(INDEX('ISV Inventory'!$B$6:$B$255,MATCH(SMALL('ISV Inventory'!$AU$6:$AU$255,$A227),'ISV Inventory'!$AU$6:$AU$255,0))&amp;"",""))</f>
        <v/>
      </c>
      <c r="F227" s="13" t="str">
        <f aca="false">IF($A227="","",IFERROR(INDEX('ISV Inventory'!$F$6:$F$255,MATCH(SMALL('ISV Inventory'!$AU$6:$AU$255,$A227),'ISV Inventory'!$AU$6:$AU$255,0))&amp;"",""))</f>
        <v/>
      </c>
      <c r="G227" s="49" t="str">
        <f aca="false">IF($A227="","",IFERROR(INDEX('ISV Inventory'!$R$6:$R$255,MATCH(SMALL('ISV Inventory'!$AU$6:$AU$255,$A227),'ISV Inventory'!$AU$6:$AU$255,0)),""))</f>
        <v/>
      </c>
      <c r="H227" s="13" t="str">
        <f aca="false">IF($A227="","",IFERROR(INDEX('ISV Inventory'!$X$6:$X$255,MATCH(SMALL('ISV Inventory'!$AU$6:$AU$255,$A227),'ISV Inventory'!$AU$6:$AU$255,0))&amp;"",""))</f>
        <v/>
      </c>
      <c r="I227" s="47" t="str">
        <f aca="false">IF($A227="","",IFERROR(INDEX('ISV Inventory'!$Z$6:$Z$255,MATCH(SMALL('ISV Inventory'!$AU$6:$AU$255,$A227),'ISV Inventory'!$AU$6:$AU$255,0)),""))</f>
        <v/>
      </c>
      <c r="J227" s="13" t="str">
        <f aca="false">IF($A227="","",IFERROR(INDEX('ISV Inventory'!$AG$6:$AG$255,MATCH(SMALL('ISV Inventory'!$AU$6:$AU$255,$A227),'ISV Inventory'!$AU$6:$AU$255,0))&amp;"",""))</f>
        <v/>
      </c>
      <c r="K227" s="13" t="str">
        <f aca="false">IF($A227="","",IFERROR(INDEX('ISV Inventory'!$AK$6:$AK$255,MATCH(SMALL('ISV Inventory'!$AU$6:$AU$255,$A227),'ISV Inventory'!$AU$6:$AU$255,0))&amp;"",""))</f>
        <v/>
      </c>
      <c r="L227" s="13" t="str">
        <f aca="false">IF($A227="","",IFERROR(INDEX('ISV Inventory'!$AR$6:$AR$255,MATCH(SMALL('ISV Inventory'!$AU$6:$AU$255,$A227),'ISV Inventory'!$AU$6:$AU$255,0))&amp;"",""))</f>
        <v/>
      </c>
      <c r="M227" s="13" t="str">
        <f aca="false">IF($A227="","",IFERROR(INDEX('ISV Inventory'!$AS$6:$AS$255,MATCH(SMALL('ISV Inventory'!$AU$6:$AU$255,$A227),'ISV Inventory'!$AU$6:$AU$255,0))&amp;"",""))</f>
        <v/>
      </c>
    </row>
    <row r="228" customFormat="false" ht="15" hidden="false" customHeight="false" outlineLevel="0" collapsed="false">
      <c r="A228" s="13" t="str">
        <f aca="false">IF(COUNT('ISV Inventory'!$AU$6:$AU$255)&lt;224,"",224)</f>
        <v/>
      </c>
      <c r="B228" s="47" t="str">
        <f aca="false">IF($A228="","",IFERROR(INDEX('ISV Inventory'!$V$6:$V$255,MATCH(SMALL('ISV Inventory'!$AU$6:$AU$255,$A228),'ISV Inventory'!$AU$6:$AU$255,0)),""))</f>
        <v/>
      </c>
      <c r="C228" s="48" t="str">
        <f aca="false">IF($A228="","",IFERROR(INDEX('ISV Inventory'!$AA$6:$AA$255,MATCH(SMALL('ISV Inventory'!$AU$6:$AU$255,$A228),'ISV Inventory'!$AU$6:$AU$255,0)),""))</f>
        <v/>
      </c>
      <c r="D228" s="13" t="str">
        <f aca="false">IF($A228="","",IFERROR(INDEX('ISV Inventory'!$AB$6:$AB$255,MATCH(SMALL('ISV Inventory'!$AU$6:$AU$255,$A228),'ISV Inventory'!$AU$6:$AU$255,0))&amp;"",""))</f>
        <v/>
      </c>
      <c r="E228" s="13" t="str">
        <f aca="false">IF($A228="","",IFERROR(INDEX('ISV Inventory'!$B$6:$B$255,MATCH(SMALL('ISV Inventory'!$AU$6:$AU$255,$A228),'ISV Inventory'!$AU$6:$AU$255,0))&amp;"",""))</f>
        <v/>
      </c>
      <c r="F228" s="13" t="str">
        <f aca="false">IF($A228="","",IFERROR(INDEX('ISV Inventory'!$F$6:$F$255,MATCH(SMALL('ISV Inventory'!$AU$6:$AU$255,$A228),'ISV Inventory'!$AU$6:$AU$255,0))&amp;"",""))</f>
        <v/>
      </c>
      <c r="G228" s="49" t="str">
        <f aca="false">IF($A228="","",IFERROR(INDEX('ISV Inventory'!$R$6:$R$255,MATCH(SMALL('ISV Inventory'!$AU$6:$AU$255,$A228),'ISV Inventory'!$AU$6:$AU$255,0)),""))</f>
        <v/>
      </c>
      <c r="H228" s="13" t="str">
        <f aca="false">IF($A228="","",IFERROR(INDEX('ISV Inventory'!$X$6:$X$255,MATCH(SMALL('ISV Inventory'!$AU$6:$AU$255,$A228),'ISV Inventory'!$AU$6:$AU$255,0))&amp;"",""))</f>
        <v/>
      </c>
      <c r="I228" s="47" t="str">
        <f aca="false">IF($A228="","",IFERROR(INDEX('ISV Inventory'!$Z$6:$Z$255,MATCH(SMALL('ISV Inventory'!$AU$6:$AU$255,$A228),'ISV Inventory'!$AU$6:$AU$255,0)),""))</f>
        <v/>
      </c>
      <c r="J228" s="13" t="str">
        <f aca="false">IF($A228="","",IFERROR(INDEX('ISV Inventory'!$AG$6:$AG$255,MATCH(SMALL('ISV Inventory'!$AU$6:$AU$255,$A228),'ISV Inventory'!$AU$6:$AU$255,0))&amp;"",""))</f>
        <v/>
      </c>
      <c r="K228" s="13" t="str">
        <f aca="false">IF($A228="","",IFERROR(INDEX('ISV Inventory'!$AK$6:$AK$255,MATCH(SMALL('ISV Inventory'!$AU$6:$AU$255,$A228),'ISV Inventory'!$AU$6:$AU$255,0))&amp;"",""))</f>
        <v/>
      </c>
      <c r="L228" s="13" t="str">
        <f aca="false">IF($A228="","",IFERROR(INDEX('ISV Inventory'!$AR$6:$AR$255,MATCH(SMALL('ISV Inventory'!$AU$6:$AU$255,$A228),'ISV Inventory'!$AU$6:$AU$255,0))&amp;"",""))</f>
        <v/>
      </c>
      <c r="M228" s="13" t="str">
        <f aca="false">IF($A228="","",IFERROR(INDEX('ISV Inventory'!$AS$6:$AS$255,MATCH(SMALL('ISV Inventory'!$AU$6:$AU$255,$A228),'ISV Inventory'!$AU$6:$AU$255,0))&amp;"",""))</f>
        <v/>
      </c>
    </row>
    <row r="229" customFormat="false" ht="15" hidden="false" customHeight="false" outlineLevel="0" collapsed="false">
      <c r="A229" s="13" t="str">
        <f aca="false">IF(COUNT('ISV Inventory'!$AU$6:$AU$255)&lt;225,"",225)</f>
        <v/>
      </c>
      <c r="B229" s="47" t="str">
        <f aca="false">IF($A229="","",IFERROR(INDEX('ISV Inventory'!$V$6:$V$255,MATCH(SMALL('ISV Inventory'!$AU$6:$AU$255,$A229),'ISV Inventory'!$AU$6:$AU$255,0)),""))</f>
        <v/>
      </c>
      <c r="C229" s="48" t="str">
        <f aca="false">IF($A229="","",IFERROR(INDEX('ISV Inventory'!$AA$6:$AA$255,MATCH(SMALL('ISV Inventory'!$AU$6:$AU$255,$A229),'ISV Inventory'!$AU$6:$AU$255,0)),""))</f>
        <v/>
      </c>
      <c r="D229" s="13" t="str">
        <f aca="false">IF($A229="","",IFERROR(INDEX('ISV Inventory'!$AB$6:$AB$255,MATCH(SMALL('ISV Inventory'!$AU$6:$AU$255,$A229),'ISV Inventory'!$AU$6:$AU$255,0))&amp;"",""))</f>
        <v/>
      </c>
      <c r="E229" s="13" t="str">
        <f aca="false">IF($A229="","",IFERROR(INDEX('ISV Inventory'!$B$6:$B$255,MATCH(SMALL('ISV Inventory'!$AU$6:$AU$255,$A229),'ISV Inventory'!$AU$6:$AU$255,0))&amp;"",""))</f>
        <v/>
      </c>
      <c r="F229" s="13" t="str">
        <f aca="false">IF($A229="","",IFERROR(INDEX('ISV Inventory'!$F$6:$F$255,MATCH(SMALL('ISV Inventory'!$AU$6:$AU$255,$A229),'ISV Inventory'!$AU$6:$AU$255,0))&amp;"",""))</f>
        <v/>
      </c>
      <c r="G229" s="49" t="str">
        <f aca="false">IF($A229="","",IFERROR(INDEX('ISV Inventory'!$R$6:$R$255,MATCH(SMALL('ISV Inventory'!$AU$6:$AU$255,$A229),'ISV Inventory'!$AU$6:$AU$255,0)),""))</f>
        <v/>
      </c>
      <c r="H229" s="13" t="str">
        <f aca="false">IF($A229="","",IFERROR(INDEX('ISV Inventory'!$X$6:$X$255,MATCH(SMALL('ISV Inventory'!$AU$6:$AU$255,$A229),'ISV Inventory'!$AU$6:$AU$255,0))&amp;"",""))</f>
        <v/>
      </c>
      <c r="I229" s="47" t="str">
        <f aca="false">IF($A229="","",IFERROR(INDEX('ISV Inventory'!$Z$6:$Z$255,MATCH(SMALL('ISV Inventory'!$AU$6:$AU$255,$A229),'ISV Inventory'!$AU$6:$AU$255,0)),""))</f>
        <v/>
      </c>
      <c r="J229" s="13" t="str">
        <f aca="false">IF($A229="","",IFERROR(INDEX('ISV Inventory'!$AG$6:$AG$255,MATCH(SMALL('ISV Inventory'!$AU$6:$AU$255,$A229),'ISV Inventory'!$AU$6:$AU$255,0))&amp;"",""))</f>
        <v/>
      </c>
      <c r="K229" s="13" t="str">
        <f aca="false">IF($A229="","",IFERROR(INDEX('ISV Inventory'!$AK$6:$AK$255,MATCH(SMALL('ISV Inventory'!$AU$6:$AU$255,$A229),'ISV Inventory'!$AU$6:$AU$255,0))&amp;"",""))</f>
        <v/>
      </c>
      <c r="L229" s="13" t="str">
        <f aca="false">IF($A229="","",IFERROR(INDEX('ISV Inventory'!$AR$6:$AR$255,MATCH(SMALL('ISV Inventory'!$AU$6:$AU$255,$A229),'ISV Inventory'!$AU$6:$AU$255,0))&amp;"",""))</f>
        <v/>
      </c>
      <c r="M229" s="13" t="str">
        <f aca="false">IF($A229="","",IFERROR(INDEX('ISV Inventory'!$AS$6:$AS$255,MATCH(SMALL('ISV Inventory'!$AU$6:$AU$255,$A229),'ISV Inventory'!$AU$6:$AU$255,0))&amp;"",""))</f>
        <v/>
      </c>
    </row>
    <row r="230" customFormat="false" ht="15" hidden="false" customHeight="false" outlineLevel="0" collapsed="false">
      <c r="A230" s="13" t="str">
        <f aca="false">IF(COUNT('ISV Inventory'!$AU$6:$AU$255)&lt;226,"",226)</f>
        <v/>
      </c>
      <c r="B230" s="47" t="str">
        <f aca="false">IF($A230="","",IFERROR(INDEX('ISV Inventory'!$V$6:$V$255,MATCH(SMALL('ISV Inventory'!$AU$6:$AU$255,$A230),'ISV Inventory'!$AU$6:$AU$255,0)),""))</f>
        <v/>
      </c>
      <c r="C230" s="48" t="str">
        <f aca="false">IF($A230="","",IFERROR(INDEX('ISV Inventory'!$AA$6:$AA$255,MATCH(SMALL('ISV Inventory'!$AU$6:$AU$255,$A230),'ISV Inventory'!$AU$6:$AU$255,0)),""))</f>
        <v/>
      </c>
      <c r="D230" s="13" t="str">
        <f aca="false">IF($A230="","",IFERROR(INDEX('ISV Inventory'!$AB$6:$AB$255,MATCH(SMALL('ISV Inventory'!$AU$6:$AU$255,$A230),'ISV Inventory'!$AU$6:$AU$255,0))&amp;"",""))</f>
        <v/>
      </c>
      <c r="E230" s="13" t="str">
        <f aca="false">IF($A230="","",IFERROR(INDEX('ISV Inventory'!$B$6:$B$255,MATCH(SMALL('ISV Inventory'!$AU$6:$AU$255,$A230),'ISV Inventory'!$AU$6:$AU$255,0))&amp;"",""))</f>
        <v/>
      </c>
      <c r="F230" s="13" t="str">
        <f aca="false">IF($A230="","",IFERROR(INDEX('ISV Inventory'!$F$6:$F$255,MATCH(SMALL('ISV Inventory'!$AU$6:$AU$255,$A230),'ISV Inventory'!$AU$6:$AU$255,0))&amp;"",""))</f>
        <v/>
      </c>
      <c r="G230" s="49" t="str">
        <f aca="false">IF($A230="","",IFERROR(INDEX('ISV Inventory'!$R$6:$R$255,MATCH(SMALL('ISV Inventory'!$AU$6:$AU$255,$A230),'ISV Inventory'!$AU$6:$AU$255,0)),""))</f>
        <v/>
      </c>
      <c r="H230" s="13" t="str">
        <f aca="false">IF($A230="","",IFERROR(INDEX('ISV Inventory'!$X$6:$X$255,MATCH(SMALL('ISV Inventory'!$AU$6:$AU$255,$A230),'ISV Inventory'!$AU$6:$AU$255,0))&amp;"",""))</f>
        <v/>
      </c>
      <c r="I230" s="47" t="str">
        <f aca="false">IF($A230="","",IFERROR(INDEX('ISV Inventory'!$Z$6:$Z$255,MATCH(SMALL('ISV Inventory'!$AU$6:$AU$255,$A230),'ISV Inventory'!$AU$6:$AU$255,0)),""))</f>
        <v/>
      </c>
      <c r="J230" s="13" t="str">
        <f aca="false">IF($A230="","",IFERROR(INDEX('ISV Inventory'!$AG$6:$AG$255,MATCH(SMALL('ISV Inventory'!$AU$6:$AU$255,$A230),'ISV Inventory'!$AU$6:$AU$255,0))&amp;"",""))</f>
        <v/>
      </c>
      <c r="K230" s="13" t="str">
        <f aca="false">IF($A230="","",IFERROR(INDEX('ISV Inventory'!$AK$6:$AK$255,MATCH(SMALL('ISV Inventory'!$AU$6:$AU$255,$A230),'ISV Inventory'!$AU$6:$AU$255,0))&amp;"",""))</f>
        <v/>
      </c>
      <c r="L230" s="13" t="str">
        <f aca="false">IF($A230="","",IFERROR(INDEX('ISV Inventory'!$AR$6:$AR$255,MATCH(SMALL('ISV Inventory'!$AU$6:$AU$255,$A230),'ISV Inventory'!$AU$6:$AU$255,0))&amp;"",""))</f>
        <v/>
      </c>
      <c r="M230" s="13" t="str">
        <f aca="false">IF($A230="","",IFERROR(INDEX('ISV Inventory'!$AS$6:$AS$255,MATCH(SMALL('ISV Inventory'!$AU$6:$AU$255,$A230),'ISV Inventory'!$AU$6:$AU$255,0))&amp;"",""))</f>
        <v/>
      </c>
    </row>
    <row r="231" customFormat="false" ht="15" hidden="false" customHeight="false" outlineLevel="0" collapsed="false">
      <c r="A231" s="13" t="str">
        <f aca="false">IF(COUNT('ISV Inventory'!$AU$6:$AU$255)&lt;227,"",227)</f>
        <v/>
      </c>
      <c r="B231" s="47" t="str">
        <f aca="false">IF($A231="","",IFERROR(INDEX('ISV Inventory'!$V$6:$V$255,MATCH(SMALL('ISV Inventory'!$AU$6:$AU$255,$A231),'ISV Inventory'!$AU$6:$AU$255,0)),""))</f>
        <v/>
      </c>
      <c r="C231" s="48" t="str">
        <f aca="false">IF($A231="","",IFERROR(INDEX('ISV Inventory'!$AA$6:$AA$255,MATCH(SMALL('ISV Inventory'!$AU$6:$AU$255,$A231),'ISV Inventory'!$AU$6:$AU$255,0)),""))</f>
        <v/>
      </c>
      <c r="D231" s="13" t="str">
        <f aca="false">IF($A231="","",IFERROR(INDEX('ISV Inventory'!$AB$6:$AB$255,MATCH(SMALL('ISV Inventory'!$AU$6:$AU$255,$A231),'ISV Inventory'!$AU$6:$AU$255,0))&amp;"",""))</f>
        <v/>
      </c>
      <c r="E231" s="13" t="str">
        <f aca="false">IF($A231="","",IFERROR(INDEX('ISV Inventory'!$B$6:$B$255,MATCH(SMALL('ISV Inventory'!$AU$6:$AU$255,$A231),'ISV Inventory'!$AU$6:$AU$255,0))&amp;"",""))</f>
        <v/>
      </c>
      <c r="F231" s="13" t="str">
        <f aca="false">IF($A231="","",IFERROR(INDEX('ISV Inventory'!$F$6:$F$255,MATCH(SMALL('ISV Inventory'!$AU$6:$AU$255,$A231),'ISV Inventory'!$AU$6:$AU$255,0))&amp;"",""))</f>
        <v/>
      </c>
      <c r="G231" s="49" t="str">
        <f aca="false">IF($A231="","",IFERROR(INDEX('ISV Inventory'!$R$6:$R$255,MATCH(SMALL('ISV Inventory'!$AU$6:$AU$255,$A231),'ISV Inventory'!$AU$6:$AU$255,0)),""))</f>
        <v/>
      </c>
      <c r="H231" s="13" t="str">
        <f aca="false">IF($A231="","",IFERROR(INDEX('ISV Inventory'!$X$6:$X$255,MATCH(SMALL('ISV Inventory'!$AU$6:$AU$255,$A231),'ISV Inventory'!$AU$6:$AU$255,0))&amp;"",""))</f>
        <v/>
      </c>
      <c r="I231" s="47" t="str">
        <f aca="false">IF($A231="","",IFERROR(INDEX('ISV Inventory'!$Z$6:$Z$255,MATCH(SMALL('ISV Inventory'!$AU$6:$AU$255,$A231),'ISV Inventory'!$AU$6:$AU$255,0)),""))</f>
        <v/>
      </c>
      <c r="J231" s="13" t="str">
        <f aca="false">IF($A231="","",IFERROR(INDEX('ISV Inventory'!$AG$6:$AG$255,MATCH(SMALL('ISV Inventory'!$AU$6:$AU$255,$A231),'ISV Inventory'!$AU$6:$AU$255,0))&amp;"",""))</f>
        <v/>
      </c>
      <c r="K231" s="13" t="str">
        <f aca="false">IF($A231="","",IFERROR(INDEX('ISV Inventory'!$AK$6:$AK$255,MATCH(SMALL('ISV Inventory'!$AU$6:$AU$255,$A231),'ISV Inventory'!$AU$6:$AU$255,0))&amp;"",""))</f>
        <v/>
      </c>
      <c r="L231" s="13" t="str">
        <f aca="false">IF($A231="","",IFERROR(INDEX('ISV Inventory'!$AR$6:$AR$255,MATCH(SMALL('ISV Inventory'!$AU$6:$AU$255,$A231),'ISV Inventory'!$AU$6:$AU$255,0))&amp;"",""))</f>
        <v/>
      </c>
      <c r="M231" s="13" t="str">
        <f aca="false">IF($A231="","",IFERROR(INDEX('ISV Inventory'!$AS$6:$AS$255,MATCH(SMALL('ISV Inventory'!$AU$6:$AU$255,$A231),'ISV Inventory'!$AU$6:$AU$255,0))&amp;"",""))</f>
        <v/>
      </c>
    </row>
    <row r="232" customFormat="false" ht="15" hidden="false" customHeight="false" outlineLevel="0" collapsed="false">
      <c r="A232" s="13" t="str">
        <f aca="false">IF(COUNT('ISV Inventory'!$AU$6:$AU$255)&lt;228,"",228)</f>
        <v/>
      </c>
      <c r="B232" s="47" t="str">
        <f aca="false">IF($A232="","",IFERROR(INDEX('ISV Inventory'!$V$6:$V$255,MATCH(SMALL('ISV Inventory'!$AU$6:$AU$255,$A232),'ISV Inventory'!$AU$6:$AU$255,0)),""))</f>
        <v/>
      </c>
      <c r="C232" s="48" t="str">
        <f aca="false">IF($A232="","",IFERROR(INDEX('ISV Inventory'!$AA$6:$AA$255,MATCH(SMALL('ISV Inventory'!$AU$6:$AU$255,$A232),'ISV Inventory'!$AU$6:$AU$255,0)),""))</f>
        <v/>
      </c>
      <c r="D232" s="13" t="str">
        <f aca="false">IF($A232="","",IFERROR(INDEX('ISV Inventory'!$AB$6:$AB$255,MATCH(SMALL('ISV Inventory'!$AU$6:$AU$255,$A232),'ISV Inventory'!$AU$6:$AU$255,0))&amp;"",""))</f>
        <v/>
      </c>
      <c r="E232" s="13" t="str">
        <f aca="false">IF($A232="","",IFERROR(INDEX('ISV Inventory'!$B$6:$B$255,MATCH(SMALL('ISV Inventory'!$AU$6:$AU$255,$A232),'ISV Inventory'!$AU$6:$AU$255,0))&amp;"",""))</f>
        <v/>
      </c>
      <c r="F232" s="13" t="str">
        <f aca="false">IF($A232="","",IFERROR(INDEX('ISV Inventory'!$F$6:$F$255,MATCH(SMALL('ISV Inventory'!$AU$6:$AU$255,$A232),'ISV Inventory'!$AU$6:$AU$255,0))&amp;"",""))</f>
        <v/>
      </c>
      <c r="G232" s="49" t="str">
        <f aca="false">IF($A232="","",IFERROR(INDEX('ISV Inventory'!$R$6:$R$255,MATCH(SMALL('ISV Inventory'!$AU$6:$AU$255,$A232),'ISV Inventory'!$AU$6:$AU$255,0)),""))</f>
        <v/>
      </c>
      <c r="H232" s="13" t="str">
        <f aca="false">IF($A232="","",IFERROR(INDEX('ISV Inventory'!$X$6:$X$255,MATCH(SMALL('ISV Inventory'!$AU$6:$AU$255,$A232),'ISV Inventory'!$AU$6:$AU$255,0))&amp;"",""))</f>
        <v/>
      </c>
      <c r="I232" s="47" t="str">
        <f aca="false">IF($A232="","",IFERROR(INDEX('ISV Inventory'!$Z$6:$Z$255,MATCH(SMALL('ISV Inventory'!$AU$6:$AU$255,$A232),'ISV Inventory'!$AU$6:$AU$255,0)),""))</f>
        <v/>
      </c>
      <c r="J232" s="13" t="str">
        <f aca="false">IF($A232="","",IFERROR(INDEX('ISV Inventory'!$AG$6:$AG$255,MATCH(SMALL('ISV Inventory'!$AU$6:$AU$255,$A232),'ISV Inventory'!$AU$6:$AU$255,0))&amp;"",""))</f>
        <v/>
      </c>
      <c r="K232" s="13" t="str">
        <f aca="false">IF($A232="","",IFERROR(INDEX('ISV Inventory'!$AK$6:$AK$255,MATCH(SMALL('ISV Inventory'!$AU$6:$AU$255,$A232),'ISV Inventory'!$AU$6:$AU$255,0))&amp;"",""))</f>
        <v/>
      </c>
      <c r="L232" s="13" t="str">
        <f aca="false">IF($A232="","",IFERROR(INDEX('ISV Inventory'!$AR$6:$AR$255,MATCH(SMALL('ISV Inventory'!$AU$6:$AU$255,$A232),'ISV Inventory'!$AU$6:$AU$255,0))&amp;"",""))</f>
        <v/>
      </c>
      <c r="M232" s="13" t="str">
        <f aca="false">IF($A232="","",IFERROR(INDEX('ISV Inventory'!$AS$6:$AS$255,MATCH(SMALL('ISV Inventory'!$AU$6:$AU$255,$A232),'ISV Inventory'!$AU$6:$AU$255,0))&amp;"",""))</f>
        <v/>
      </c>
    </row>
    <row r="233" customFormat="false" ht="15" hidden="false" customHeight="false" outlineLevel="0" collapsed="false">
      <c r="A233" s="13" t="str">
        <f aca="false">IF(COUNT('ISV Inventory'!$AU$6:$AU$255)&lt;229,"",229)</f>
        <v/>
      </c>
      <c r="B233" s="47" t="str">
        <f aca="false">IF($A233="","",IFERROR(INDEX('ISV Inventory'!$V$6:$V$255,MATCH(SMALL('ISV Inventory'!$AU$6:$AU$255,$A233),'ISV Inventory'!$AU$6:$AU$255,0)),""))</f>
        <v/>
      </c>
      <c r="C233" s="48" t="str">
        <f aca="false">IF($A233="","",IFERROR(INDEX('ISV Inventory'!$AA$6:$AA$255,MATCH(SMALL('ISV Inventory'!$AU$6:$AU$255,$A233),'ISV Inventory'!$AU$6:$AU$255,0)),""))</f>
        <v/>
      </c>
      <c r="D233" s="13" t="str">
        <f aca="false">IF($A233="","",IFERROR(INDEX('ISV Inventory'!$AB$6:$AB$255,MATCH(SMALL('ISV Inventory'!$AU$6:$AU$255,$A233),'ISV Inventory'!$AU$6:$AU$255,0))&amp;"",""))</f>
        <v/>
      </c>
      <c r="E233" s="13" t="str">
        <f aca="false">IF($A233="","",IFERROR(INDEX('ISV Inventory'!$B$6:$B$255,MATCH(SMALL('ISV Inventory'!$AU$6:$AU$255,$A233),'ISV Inventory'!$AU$6:$AU$255,0))&amp;"",""))</f>
        <v/>
      </c>
      <c r="F233" s="13" t="str">
        <f aca="false">IF($A233="","",IFERROR(INDEX('ISV Inventory'!$F$6:$F$255,MATCH(SMALL('ISV Inventory'!$AU$6:$AU$255,$A233),'ISV Inventory'!$AU$6:$AU$255,0))&amp;"",""))</f>
        <v/>
      </c>
      <c r="G233" s="49" t="str">
        <f aca="false">IF($A233="","",IFERROR(INDEX('ISV Inventory'!$R$6:$R$255,MATCH(SMALL('ISV Inventory'!$AU$6:$AU$255,$A233),'ISV Inventory'!$AU$6:$AU$255,0)),""))</f>
        <v/>
      </c>
      <c r="H233" s="13" t="str">
        <f aca="false">IF($A233="","",IFERROR(INDEX('ISV Inventory'!$X$6:$X$255,MATCH(SMALL('ISV Inventory'!$AU$6:$AU$255,$A233),'ISV Inventory'!$AU$6:$AU$255,0))&amp;"",""))</f>
        <v/>
      </c>
      <c r="I233" s="47" t="str">
        <f aca="false">IF($A233="","",IFERROR(INDEX('ISV Inventory'!$Z$6:$Z$255,MATCH(SMALL('ISV Inventory'!$AU$6:$AU$255,$A233),'ISV Inventory'!$AU$6:$AU$255,0)),""))</f>
        <v/>
      </c>
      <c r="J233" s="13" t="str">
        <f aca="false">IF($A233="","",IFERROR(INDEX('ISV Inventory'!$AG$6:$AG$255,MATCH(SMALL('ISV Inventory'!$AU$6:$AU$255,$A233),'ISV Inventory'!$AU$6:$AU$255,0))&amp;"",""))</f>
        <v/>
      </c>
      <c r="K233" s="13" t="str">
        <f aca="false">IF($A233="","",IFERROR(INDEX('ISV Inventory'!$AK$6:$AK$255,MATCH(SMALL('ISV Inventory'!$AU$6:$AU$255,$A233),'ISV Inventory'!$AU$6:$AU$255,0))&amp;"",""))</f>
        <v/>
      </c>
      <c r="L233" s="13" t="str">
        <f aca="false">IF($A233="","",IFERROR(INDEX('ISV Inventory'!$AR$6:$AR$255,MATCH(SMALL('ISV Inventory'!$AU$6:$AU$255,$A233),'ISV Inventory'!$AU$6:$AU$255,0))&amp;"",""))</f>
        <v/>
      </c>
      <c r="M233" s="13" t="str">
        <f aca="false">IF($A233="","",IFERROR(INDEX('ISV Inventory'!$AS$6:$AS$255,MATCH(SMALL('ISV Inventory'!$AU$6:$AU$255,$A233),'ISV Inventory'!$AU$6:$AU$255,0))&amp;"",""))</f>
        <v/>
      </c>
    </row>
    <row r="234" customFormat="false" ht="15" hidden="false" customHeight="false" outlineLevel="0" collapsed="false">
      <c r="A234" s="13" t="str">
        <f aca="false">IF(COUNT('ISV Inventory'!$AU$6:$AU$255)&lt;230,"",230)</f>
        <v/>
      </c>
      <c r="B234" s="47" t="str">
        <f aca="false">IF($A234="","",IFERROR(INDEX('ISV Inventory'!$V$6:$V$255,MATCH(SMALL('ISV Inventory'!$AU$6:$AU$255,$A234),'ISV Inventory'!$AU$6:$AU$255,0)),""))</f>
        <v/>
      </c>
      <c r="C234" s="48" t="str">
        <f aca="false">IF($A234="","",IFERROR(INDEX('ISV Inventory'!$AA$6:$AA$255,MATCH(SMALL('ISV Inventory'!$AU$6:$AU$255,$A234),'ISV Inventory'!$AU$6:$AU$255,0)),""))</f>
        <v/>
      </c>
      <c r="D234" s="13" t="str">
        <f aca="false">IF($A234="","",IFERROR(INDEX('ISV Inventory'!$AB$6:$AB$255,MATCH(SMALL('ISV Inventory'!$AU$6:$AU$255,$A234),'ISV Inventory'!$AU$6:$AU$255,0))&amp;"",""))</f>
        <v/>
      </c>
      <c r="E234" s="13" t="str">
        <f aca="false">IF($A234="","",IFERROR(INDEX('ISV Inventory'!$B$6:$B$255,MATCH(SMALL('ISV Inventory'!$AU$6:$AU$255,$A234),'ISV Inventory'!$AU$6:$AU$255,0))&amp;"",""))</f>
        <v/>
      </c>
      <c r="F234" s="13" t="str">
        <f aca="false">IF($A234="","",IFERROR(INDEX('ISV Inventory'!$F$6:$F$255,MATCH(SMALL('ISV Inventory'!$AU$6:$AU$255,$A234),'ISV Inventory'!$AU$6:$AU$255,0))&amp;"",""))</f>
        <v/>
      </c>
      <c r="G234" s="49" t="str">
        <f aca="false">IF($A234="","",IFERROR(INDEX('ISV Inventory'!$R$6:$R$255,MATCH(SMALL('ISV Inventory'!$AU$6:$AU$255,$A234),'ISV Inventory'!$AU$6:$AU$255,0)),""))</f>
        <v/>
      </c>
      <c r="H234" s="13" t="str">
        <f aca="false">IF($A234="","",IFERROR(INDEX('ISV Inventory'!$X$6:$X$255,MATCH(SMALL('ISV Inventory'!$AU$6:$AU$255,$A234),'ISV Inventory'!$AU$6:$AU$255,0))&amp;"",""))</f>
        <v/>
      </c>
      <c r="I234" s="47" t="str">
        <f aca="false">IF($A234="","",IFERROR(INDEX('ISV Inventory'!$Z$6:$Z$255,MATCH(SMALL('ISV Inventory'!$AU$6:$AU$255,$A234),'ISV Inventory'!$AU$6:$AU$255,0)),""))</f>
        <v/>
      </c>
      <c r="J234" s="13" t="str">
        <f aca="false">IF($A234="","",IFERROR(INDEX('ISV Inventory'!$AG$6:$AG$255,MATCH(SMALL('ISV Inventory'!$AU$6:$AU$255,$A234),'ISV Inventory'!$AU$6:$AU$255,0))&amp;"",""))</f>
        <v/>
      </c>
      <c r="K234" s="13" t="str">
        <f aca="false">IF($A234="","",IFERROR(INDEX('ISV Inventory'!$AK$6:$AK$255,MATCH(SMALL('ISV Inventory'!$AU$6:$AU$255,$A234),'ISV Inventory'!$AU$6:$AU$255,0))&amp;"",""))</f>
        <v/>
      </c>
      <c r="L234" s="13" t="str">
        <f aca="false">IF($A234="","",IFERROR(INDEX('ISV Inventory'!$AR$6:$AR$255,MATCH(SMALL('ISV Inventory'!$AU$6:$AU$255,$A234),'ISV Inventory'!$AU$6:$AU$255,0))&amp;"",""))</f>
        <v/>
      </c>
      <c r="M234" s="13" t="str">
        <f aca="false">IF($A234="","",IFERROR(INDEX('ISV Inventory'!$AS$6:$AS$255,MATCH(SMALL('ISV Inventory'!$AU$6:$AU$255,$A234),'ISV Inventory'!$AU$6:$AU$255,0))&amp;"",""))</f>
        <v/>
      </c>
    </row>
    <row r="235" customFormat="false" ht="15" hidden="false" customHeight="false" outlineLevel="0" collapsed="false">
      <c r="A235" s="13" t="str">
        <f aca="false">IF(COUNT('ISV Inventory'!$AU$6:$AU$255)&lt;231,"",231)</f>
        <v/>
      </c>
      <c r="B235" s="47" t="str">
        <f aca="false">IF($A235="","",IFERROR(INDEX('ISV Inventory'!$V$6:$V$255,MATCH(SMALL('ISV Inventory'!$AU$6:$AU$255,$A235),'ISV Inventory'!$AU$6:$AU$255,0)),""))</f>
        <v/>
      </c>
      <c r="C235" s="48" t="str">
        <f aca="false">IF($A235="","",IFERROR(INDEX('ISV Inventory'!$AA$6:$AA$255,MATCH(SMALL('ISV Inventory'!$AU$6:$AU$255,$A235),'ISV Inventory'!$AU$6:$AU$255,0)),""))</f>
        <v/>
      </c>
      <c r="D235" s="13" t="str">
        <f aca="false">IF($A235="","",IFERROR(INDEX('ISV Inventory'!$AB$6:$AB$255,MATCH(SMALL('ISV Inventory'!$AU$6:$AU$255,$A235),'ISV Inventory'!$AU$6:$AU$255,0))&amp;"",""))</f>
        <v/>
      </c>
      <c r="E235" s="13" t="str">
        <f aca="false">IF($A235="","",IFERROR(INDEX('ISV Inventory'!$B$6:$B$255,MATCH(SMALL('ISV Inventory'!$AU$6:$AU$255,$A235),'ISV Inventory'!$AU$6:$AU$255,0))&amp;"",""))</f>
        <v/>
      </c>
      <c r="F235" s="13" t="str">
        <f aca="false">IF($A235="","",IFERROR(INDEX('ISV Inventory'!$F$6:$F$255,MATCH(SMALL('ISV Inventory'!$AU$6:$AU$255,$A235),'ISV Inventory'!$AU$6:$AU$255,0))&amp;"",""))</f>
        <v/>
      </c>
      <c r="G235" s="49" t="str">
        <f aca="false">IF($A235="","",IFERROR(INDEX('ISV Inventory'!$R$6:$R$255,MATCH(SMALL('ISV Inventory'!$AU$6:$AU$255,$A235),'ISV Inventory'!$AU$6:$AU$255,0)),""))</f>
        <v/>
      </c>
      <c r="H235" s="13" t="str">
        <f aca="false">IF($A235="","",IFERROR(INDEX('ISV Inventory'!$X$6:$X$255,MATCH(SMALL('ISV Inventory'!$AU$6:$AU$255,$A235),'ISV Inventory'!$AU$6:$AU$255,0))&amp;"",""))</f>
        <v/>
      </c>
      <c r="I235" s="47" t="str">
        <f aca="false">IF($A235="","",IFERROR(INDEX('ISV Inventory'!$Z$6:$Z$255,MATCH(SMALL('ISV Inventory'!$AU$6:$AU$255,$A235),'ISV Inventory'!$AU$6:$AU$255,0)),""))</f>
        <v/>
      </c>
      <c r="J235" s="13" t="str">
        <f aca="false">IF($A235="","",IFERROR(INDEX('ISV Inventory'!$AG$6:$AG$255,MATCH(SMALL('ISV Inventory'!$AU$6:$AU$255,$A235),'ISV Inventory'!$AU$6:$AU$255,0))&amp;"",""))</f>
        <v/>
      </c>
      <c r="K235" s="13" t="str">
        <f aca="false">IF($A235="","",IFERROR(INDEX('ISV Inventory'!$AK$6:$AK$255,MATCH(SMALL('ISV Inventory'!$AU$6:$AU$255,$A235),'ISV Inventory'!$AU$6:$AU$255,0))&amp;"",""))</f>
        <v/>
      </c>
      <c r="L235" s="13" t="str">
        <f aca="false">IF($A235="","",IFERROR(INDEX('ISV Inventory'!$AR$6:$AR$255,MATCH(SMALL('ISV Inventory'!$AU$6:$AU$255,$A235),'ISV Inventory'!$AU$6:$AU$255,0))&amp;"",""))</f>
        <v/>
      </c>
      <c r="M235" s="13" t="str">
        <f aca="false">IF($A235="","",IFERROR(INDEX('ISV Inventory'!$AS$6:$AS$255,MATCH(SMALL('ISV Inventory'!$AU$6:$AU$255,$A235),'ISV Inventory'!$AU$6:$AU$255,0))&amp;"",""))</f>
        <v/>
      </c>
    </row>
    <row r="236" customFormat="false" ht="15" hidden="false" customHeight="false" outlineLevel="0" collapsed="false">
      <c r="A236" s="13" t="str">
        <f aca="false">IF(COUNT('ISV Inventory'!$AU$6:$AU$255)&lt;232,"",232)</f>
        <v/>
      </c>
      <c r="B236" s="47" t="str">
        <f aca="false">IF($A236="","",IFERROR(INDEX('ISV Inventory'!$V$6:$V$255,MATCH(SMALL('ISV Inventory'!$AU$6:$AU$255,$A236),'ISV Inventory'!$AU$6:$AU$255,0)),""))</f>
        <v/>
      </c>
      <c r="C236" s="48" t="str">
        <f aca="false">IF($A236="","",IFERROR(INDEX('ISV Inventory'!$AA$6:$AA$255,MATCH(SMALL('ISV Inventory'!$AU$6:$AU$255,$A236),'ISV Inventory'!$AU$6:$AU$255,0)),""))</f>
        <v/>
      </c>
      <c r="D236" s="13" t="str">
        <f aca="false">IF($A236="","",IFERROR(INDEX('ISV Inventory'!$AB$6:$AB$255,MATCH(SMALL('ISV Inventory'!$AU$6:$AU$255,$A236),'ISV Inventory'!$AU$6:$AU$255,0))&amp;"",""))</f>
        <v/>
      </c>
      <c r="E236" s="13" t="str">
        <f aca="false">IF($A236="","",IFERROR(INDEX('ISV Inventory'!$B$6:$B$255,MATCH(SMALL('ISV Inventory'!$AU$6:$AU$255,$A236),'ISV Inventory'!$AU$6:$AU$255,0))&amp;"",""))</f>
        <v/>
      </c>
      <c r="F236" s="13" t="str">
        <f aca="false">IF($A236="","",IFERROR(INDEX('ISV Inventory'!$F$6:$F$255,MATCH(SMALL('ISV Inventory'!$AU$6:$AU$255,$A236),'ISV Inventory'!$AU$6:$AU$255,0))&amp;"",""))</f>
        <v/>
      </c>
      <c r="G236" s="49" t="str">
        <f aca="false">IF($A236="","",IFERROR(INDEX('ISV Inventory'!$R$6:$R$255,MATCH(SMALL('ISV Inventory'!$AU$6:$AU$255,$A236),'ISV Inventory'!$AU$6:$AU$255,0)),""))</f>
        <v/>
      </c>
      <c r="H236" s="13" t="str">
        <f aca="false">IF($A236="","",IFERROR(INDEX('ISV Inventory'!$X$6:$X$255,MATCH(SMALL('ISV Inventory'!$AU$6:$AU$255,$A236),'ISV Inventory'!$AU$6:$AU$255,0))&amp;"",""))</f>
        <v/>
      </c>
      <c r="I236" s="47" t="str">
        <f aca="false">IF($A236="","",IFERROR(INDEX('ISV Inventory'!$Z$6:$Z$255,MATCH(SMALL('ISV Inventory'!$AU$6:$AU$255,$A236),'ISV Inventory'!$AU$6:$AU$255,0)),""))</f>
        <v/>
      </c>
      <c r="J236" s="13" t="str">
        <f aca="false">IF($A236="","",IFERROR(INDEX('ISV Inventory'!$AG$6:$AG$255,MATCH(SMALL('ISV Inventory'!$AU$6:$AU$255,$A236),'ISV Inventory'!$AU$6:$AU$255,0))&amp;"",""))</f>
        <v/>
      </c>
      <c r="K236" s="13" t="str">
        <f aca="false">IF($A236="","",IFERROR(INDEX('ISV Inventory'!$AK$6:$AK$255,MATCH(SMALL('ISV Inventory'!$AU$6:$AU$255,$A236),'ISV Inventory'!$AU$6:$AU$255,0))&amp;"",""))</f>
        <v/>
      </c>
      <c r="L236" s="13" t="str">
        <f aca="false">IF($A236="","",IFERROR(INDEX('ISV Inventory'!$AR$6:$AR$255,MATCH(SMALL('ISV Inventory'!$AU$6:$AU$255,$A236),'ISV Inventory'!$AU$6:$AU$255,0))&amp;"",""))</f>
        <v/>
      </c>
      <c r="M236" s="13" t="str">
        <f aca="false">IF($A236="","",IFERROR(INDEX('ISV Inventory'!$AS$6:$AS$255,MATCH(SMALL('ISV Inventory'!$AU$6:$AU$255,$A236),'ISV Inventory'!$AU$6:$AU$255,0))&amp;"",""))</f>
        <v/>
      </c>
    </row>
    <row r="237" customFormat="false" ht="15" hidden="false" customHeight="false" outlineLevel="0" collapsed="false">
      <c r="A237" s="13" t="str">
        <f aca="false">IF(COUNT('ISV Inventory'!$AU$6:$AU$255)&lt;233,"",233)</f>
        <v/>
      </c>
      <c r="B237" s="47" t="str">
        <f aca="false">IF($A237="","",IFERROR(INDEX('ISV Inventory'!$V$6:$V$255,MATCH(SMALL('ISV Inventory'!$AU$6:$AU$255,$A237),'ISV Inventory'!$AU$6:$AU$255,0)),""))</f>
        <v/>
      </c>
      <c r="C237" s="48" t="str">
        <f aca="false">IF($A237="","",IFERROR(INDEX('ISV Inventory'!$AA$6:$AA$255,MATCH(SMALL('ISV Inventory'!$AU$6:$AU$255,$A237),'ISV Inventory'!$AU$6:$AU$255,0)),""))</f>
        <v/>
      </c>
      <c r="D237" s="13" t="str">
        <f aca="false">IF($A237="","",IFERROR(INDEX('ISV Inventory'!$AB$6:$AB$255,MATCH(SMALL('ISV Inventory'!$AU$6:$AU$255,$A237),'ISV Inventory'!$AU$6:$AU$255,0))&amp;"",""))</f>
        <v/>
      </c>
      <c r="E237" s="13" t="str">
        <f aca="false">IF($A237="","",IFERROR(INDEX('ISV Inventory'!$B$6:$B$255,MATCH(SMALL('ISV Inventory'!$AU$6:$AU$255,$A237),'ISV Inventory'!$AU$6:$AU$255,0))&amp;"",""))</f>
        <v/>
      </c>
      <c r="F237" s="13" t="str">
        <f aca="false">IF($A237="","",IFERROR(INDEX('ISV Inventory'!$F$6:$F$255,MATCH(SMALL('ISV Inventory'!$AU$6:$AU$255,$A237),'ISV Inventory'!$AU$6:$AU$255,0))&amp;"",""))</f>
        <v/>
      </c>
      <c r="G237" s="49" t="str">
        <f aca="false">IF($A237="","",IFERROR(INDEX('ISV Inventory'!$R$6:$R$255,MATCH(SMALL('ISV Inventory'!$AU$6:$AU$255,$A237),'ISV Inventory'!$AU$6:$AU$255,0)),""))</f>
        <v/>
      </c>
      <c r="H237" s="13" t="str">
        <f aca="false">IF($A237="","",IFERROR(INDEX('ISV Inventory'!$X$6:$X$255,MATCH(SMALL('ISV Inventory'!$AU$6:$AU$255,$A237),'ISV Inventory'!$AU$6:$AU$255,0))&amp;"",""))</f>
        <v/>
      </c>
      <c r="I237" s="47" t="str">
        <f aca="false">IF($A237="","",IFERROR(INDEX('ISV Inventory'!$Z$6:$Z$255,MATCH(SMALL('ISV Inventory'!$AU$6:$AU$255,$A237),'ISV Inventory'!$AU$6:$AU$255,0)),""))</f>
        <v/>
      </c>
      <c r="J237" s="13" t="str">
        <f aca="false">IF($A237="","",IFERROR(INDEX('ISV Inventory'!$AG$6:$AG$255,MATCH(SMALL('ISV Inventory'!$AU$6:$AU$255,$A237),'ISV Inventory'!$AU$6:$AU$255,0))&amp;"",""))</f>
        <v/>
      </c>
      <c r="K237" s="13" t="str">
        <f aca="false">IF($A237="","",IFERROR(INDEX('ISV Inventory'!$AK$6:$AK$255,MATCH(SMALL('ISV Inventory'!$AU$6:$AU$255,$A237),'ISV Inventory'!$AU$6:$AU$255,0))&amp;"",""))</f>
        <v/>
      </c>
      <c r="L237" s="13" t="str">
        <f aca="false">IF($A237="","",IFERROR(INDEX('ISV Inventory'!$AR$6:$AR$255,MATCH(SMALL('ISV Inventory'!$AU$6:$AU$255,$A237),'ISV Inventory'!$AU$6:$AU$255,0))&amp;"",""))</f>
        <v/>
      </c>
      <c r="M237" s="13" t="str">
        <f aca="false">IF($A237="","",IFERROR(INDEX('ISV Inventory'!$AS$6:$AS$255,MATCH(SMALL('ISV Inventory'!$AU$6:$AU$255,$A237),'ISV Inventory'!$AU$6:$AU$255,0))&amp;"",""))</f>
        <v/>
      </c>
    </row>
    <row r="238" customFormat="false" ht="15" hidden="false" customHeight="false" outlineLevel="0" collapsed="false">
      <c r="A238" s="13" t="str">
        <f aca="false">IF(COUNT('ISV Inventory'!$AU$6:$AU$255)&lt;234,"",234)</f>
        <v/>
      </c>
      <c r="B238" s="47" t="str">
        <f aca="false">IF($A238="","",IFERROR(INDEX('ISV Inventory'!$V$6:$V$255,MATCH(SMALL('ISV Inventory'!$AU$6:$AU$255,$A238),'ISV Inventory'!$AU$6:$AU$255,0)),""))</f>
        <v/>
      </c>
      <c r="C238" s="48" t="str">
        <f aca="false">IF($A238="","",IFERROR(INDEX('ISV Inventory'!$AA$6:$AA$255,MATCH(SMALL('ISV Inventory'!$AU$6:$AU$255,$A238),'ISV Inventory'!$AU$6:$AU$255,0)),""))</f>
        <v/>
      </c>
      <c r="D238" s="13" t="str">
        <f aca="false">IF($A238="","",IFERROR(INDEX('ISV Inventory'!$AB$6:$AB$255,MATCH(SMALL('ISV Inventory'!$AU$6:$AU$255,$A238),'ISV Inventory'!$AU$6:$AU$255,0))&amp;"",""))</f>
        <v/>
      </c>
      <c r="E238" s="13" t="str">
        <f aca="false">IF($A238="","",IFERROR(INDEX('ISV Inventory'!$B$6:$B$255,MATCH(SMALL('ISV Inventory'!$AU$6:$AU$255,$A238),'ISV Inventory'!$AU$6:$AU$255,0))&amp;"",""))</f>
        <v/>
      </c>
      <c r="F238" s="13" t="str">
        <f aca="false">IF($A238="","",IFERROR(INDEX('ISV Inventory'!$F$6:$F$255,MATCH(SMALL('ISV Inventory'!$AU$6:$AU$255,$A238),'ISV Inventory'!$AU$6:$AU$255,0))&amp;"",""))</f>
        <v/>
      </c>
      <c r="G238" s="49" t="str">
        <f aca="false">IF($A238="","",IFERROR(INDEX('ISV Inventory'!$R$6:$R$255,MATCH(SMALL('ISV Inventory'!$AU$6:$AU$255,$A238),'ISV Inventory'!$AU$6:$AU$255,0)),""))</f>
        <v/>
      </c>
      <c r="H238" s="13" t="str">
        <f aca="false">IF($A238="","",IFERROR(INDEX('ISV Inventory'!$X$6:$X$255,MATCH(SMALL('ISV Inventory'!$AU$6:$AU$255,$A238),'ISV Inventory'!$AU$6:$AU$255,0))&amp;"",""))</f>
        <v/>
      </c>
      <c r="I238" s="47" t="str">
        <f aca="false">IF($A238="","",IFERROR(INDEX('ISV Inventory'!$Z$6:$Z$255,MATCH(SMALL('ISV Inventory'!$AU$6:$AU$255,$A238),'ISV Inventory'!$AU$6:$AU$255,0)),""))</f>
        <v/>
      </c>
      <c r="J238" s="13" t="str">
        <f aca="false">IF($A238="","",IFERROR(INDEX('ISV Inventory'!$AG$6:$AG$255,MATCH(SMALL('ISV Inventory'!$AU$6:$AU$255,$A238),'ISV Inventory'!$AU$6:$AU$255,0))&amp;"",""))</f>
        <v/>
      </c>
      <c r="K238" s="13" t="str">
        <f aca="false">IF($A238="","",IFERROR(INDEX('ISV Inventory'!$AK$6:$AK$255,MATCH(SMALL('ISV Inventory'!$AU$6:$AU$255,$A238),'ISV Inventory'!$AU$6:$AU$255,0))&amp;"",""))</f>
        <v/>
      </c>
      <c r="L238" s="13" t="str">
        <f aca="false">IF($A238="","",IFERROR(INDEX('ISV Inventory'!$AR$6:$AR$255,MATCH(SMALL('ISV Inventory'!$AU$6:$AU$255,$A238),'ISV Inventory'!$AU$6:$AU$255,0))&amp;"",""))</f>
        <v/>
      </c>
      <c r="M238" s="13" t="str">
        <f aca="false">IF($A238="","",IFERROR(INDEX('ISV Inventory'!$AS$6:$AS$255,MATCH(SMALL('ISV Inventory'!$AU$6:$AU$255,$A238),'ISV Inventory'!$AU$6:$AU$255,0))&amp;"",""))</f>
        <v/>
      </c>
    </row>
    <row r="239" customFormat="false" ht="15" hidden="false" customHeight="false" outlineLevel="0" collapsed="false">
      <c r="A239" s="13" t="str">
        <f aca="false">IF(COUNT('ISV Inventory'!$AU$6:$AU$255)&lt;235,"",235)</f>
        <v/>
      </c>
      <c r="B239" s="47" t="str">
        <f aca="false">IF($A239="","",IFERROR(INDEX('ISV Inventory'!$V$6:$V$255,MATCH(SMALL('ISV Inventory'!$AU$6:$AU$255,$A239),'ISV Inventory'!$AU$6:$AU$255,0)),""))</f>
        <v/>
      </c>
      <c r="C239" s="48" t="str">
        <f aca="false">IF($A239="","",IFERROR(INDEX('ISV Inventory'!$AA$6:$AA$255,MATCH(SMALL('ISV Inventory'!$AU$6:$AU$255,$A239),'ISV Inventory'!$AU$6:$AU$255,0)),""))</f>
        <v/>
      </c>
      <c r="D239" s="13" t="str">
        <f aca="false">IF($A239="","",IFERROR(INDEX('ISV Inventory'!$AB$6:$AB$255,MATCH(SMALL('ISV Inventory'!$AU$6:$AU$255,$A239),'ISV Inventory'!$AU$6:$AU$255,0))&amp;"",""))</f>
        <v/>
      </c>
      <c r="E239" s="13" t="str">
        <f aca="false">IF($A239="","",IFERROR(INDEX('ISV Inventory'!$B$6:$B$255,MATCH(SMALL('ISV Inventory'!$AU$6:$AU$255,$A239),'ISV Inventory'!$AU$6:$AU$255,0))&amp;"",""))</f>
        <v/>
      </c>
      <c r="F239" s="13" t="str">
        <f aca="false">IF($A239="","",IFERROR(INDEX('ISV Inventory'!$F$6:$F$255,MATCH(SMALL('ISV Inventory'!$AU$6:$AU$255,$A239),'ISV Inventory'!$AU$6:$AU$255,0))&amp;"",""))</f>
        <v/>
      </c>
      <c r="G239" s="49" t="str">
        <f aca="false">IF($A239="","",IFERROR(INDEX('ISV Inventory'!$R$6:$R$255,MATCH(SMALL('ISV Inventory'!$AU$6:$AU$255,$A239),'ISV Inventory'!$AU$6:$AU$255,0)),""))</f>
        <v/>
      </c>
      <c r="H239" s="13" t="str">
        <f aca="false">IF($A239="","",IFERROR(INDEX('ISV Inventory'!$X$6:$X$255,MATCH(SMALL('ISV Inventory'!$AU$6:$AU$255,$A239),'ISV Inventory'!$AU$6:$AU$255,0))&amp;"",""))</f>
        <v/>
      </c>
      <c r="I239" s="47" t="str">
        <f aca="false">IF($A239="","",IFERROR(INDEX('ISV Inventory'!$Z$6:$Z$255,MATCH(SMALL('ISV Inventory'!$AU$6:$AU$255,$A239),'ISV Inventory'!$AU$6:$AU$255,0)),""))</f>
        <v/>
      </c>
      <c r="J239" s="13" t="str">
        <f aca="false">IF($A239="","",IFERROR(INDEX('ISV Inventory'!$AG$6:$AG$255,MATCH(SMALL('ISV Inventory'!$AU$6:$AU$255,$A239),'ISV Inventory'!$AU$6:$AU$255,0))&amp;"",""))</f>
        <v/>
      </c>
      <c r="K239" s="13" t="str">
        <f aca="false">IF($A239="","",IFERROR(INDEX('ISV Inventory'!$AK$6:$AK$255,MATCH(SMALL('ISV Inventory'!$AU$6:$AU$255,$A239),'ISV Inventory'!$AU$6:$AU$255,0))&amp;"",""))</f>
        <v/>
      </c>
      <c r="L239" s="13" t="str">
        <f aca="false">IF($A239="","",IFERROR(INDEX('ISV Inventory'!$AR$6:$AR$255,MATCH(SMALL('ISV Inventory'!$AU$6:$AU$255,$A239),'ISV Inventory'!$AU$6:$AU$255,0))&amp;"",""))</f>
        <v/>
      </c>
      <c r="M239" s="13" t="str">
        <f aca="false">IF($A239="","",IFERROR(INDEX('ISV Inventory'!$AS$6:$AS$255,MATCH(SMALL('ISV Inventory'!$AU$6:$AU$255,$A239),'ISV Inventory'!$AU$6:$AU$255,0))&amp;"",""))</f>
        <v/>
      </c>
    </row>
    <row r="240" customFormat="false" ht="15" hidden="false" customHeight="false" outlineLevel="0" collapsed="false">
      <c r="A240" s="13" t="str">
        <f aca="false">IF(COUNT('ISV Inventory'!$AU$6:$AU$255)&lt;236,"",236)</f>
        <v/>
      </c>
      <c r="B240" s="47" t="str">
        <f aca="false">IF($A240="","",IFERROR(INDEX('ISV Inventory'!$V$6:$V$255,MATCH(SMALL('ISV Inventory'!$AU$6:$AU$255,$A240),'ISV Inventory'!$AU$6:$AU$255,0)),""))</f>
        <v/>
      </c>
      <c r="C240" s="48" t="str">
        <f aca="false">IF($A240="","",IFERROR(INDEX('ISV Inventory'!$AA$6:$AA$255,MATCH(SMALL('ISV Inventory'!$AU$6:$AU$255,$A240),'ISV Inventory'!$AU$6:$AU$255,0)),""))</f>
        <v/>
      </c>
      <c r="D240" s="13" t="str">
        <f aca="false">IF($A240="","",IFERROR(INDEX('ISV Inventory'!$AB$6:$AB$255,MATCH(SMALL('ISV Inventory'!$AU$6:$AU$255,$A240),'ISV Inventory'!$AU$6:$AU$255,0))&amp;"",""))</f>
        <v/>
      </c>
      <c r="E240" s="13" t="str">
        <f aca="false">IF($A240="","",IFERROR(INDEX('ISV Inventory'!$B$6:$B$255,MATCH(SMALL('ISV Inventory'!$AU$6:$AU$255,$A240),'ISV Inventory'!$AU$6:$AU$255,0))&amp;"",""))</f>
        <v/>
      </c>
      <c r="F240" s="13" t="str">
        <f aca="false">IF($A240="","",IFERROR(INDEX('ISV Inventory'!$F$6:$F$255,MATCH(SMALL('ISV Inventory'!$AU$6:$AU$255,$A240),'ISV Inventory'!$AU$6:$AU$255,0))&amp;"",""))</f>
        <v/>
      </c>
      <c r="G240" s="49" t="str">
        <f aca="false">IF($A240="","",IFERROR(INDEX('ISV Inventory'!$R$6:$R$255,MATCH(SMALL('ISV Inventory'!$AU$6:$AU$255,$A240),'ISV Inventory'!$AU$6:$AU$255,0)),""))</f>
        <v/>
      </c>
      <c r="H240" s="13" t="str">
        <f aca="false">IF($A240="","",IFERROR(INDEX('ISV Inventory'!$X$6:$X$255,MATCH(SMALL('ISV Inventory'!$AU$6:$AU$255,$A240),'ISV Inventory'!$AU$6:$AU$255,0))&amp;"",""))</f>
        <v/>
      </c>
      <c r="I240" s="47" t="str">
        <f aca="false">IF($A240="","",IFERROR(INDEX('ISV Inventory'!$Z$6:$Z$255,MATCH(SMALL('ISV Inventory'!$AU$6:$AU$255,$A240),'ISV Inventory'!$AU$6:$AU$255,0)),""))</f>
        <v/>
      </c>
      <c r="J240" s="13" t="str">
        <f aca="false">IF($A240="","",IFERROR(INDEX('ISV Inventory'!$AG$6:$AG$255,MATCH(SMALL('ISV Inventory'!$AU$6:$AU$255,$A240),'ISV Inventory'!$AU$6:$AU$255,0))&amp;"",""))</f>
        <v/>
      </c>
      <c r="K240" s="13" t="str">
        <f aca="false">IF($A240="","",IFERROR(INDEX('ISV Inventory'!$AK$6:$AK$255,MATCH(SMALL('ISV Inventory'!$AU$6:$AU$255,$A240),'ISV Inventory'!$AU$6:$AU$255,0))&amp;"",""))</f>
        <v/>
      </c>
      <c r="L240" s="13" t="str">
        <f aca="false">IF($A240="","",IFERROR(INDEX('ISV Inventory'!$AR$6:$AR$255,MATCH(SMALL('ISV Inventory'!$AU$6:$AU$255,$A240),'ISV Inventory'!$AU$6:$AU$255,0))&amp;"",""))</f>
        <v/>
      </c>
      <c r="M240" s="13" t="str">
        <f aca="false">IF($A240="","",IFERROR(INDEX('ISV Inventory'!$AS$6:$AS$255,MATCH(SMALL('ISV Inventory'!$AU$6:$AU$255,$A240),'ISV Inventory'!$AU$6:$AU$255,0))&amp;"",""))</f>
        <v/>
      </c>
    </row>
    <row r="241" customFormat="false" ht="15" hidden="false" customHeight="false" outlineLevel="0" collapsed="false">
      <c r="A241" s="13" t="str">
        <f aca="false">IF(COUNT('ISV Inventory'!$AU$6:$AU$255)&lt;237,"",237)</f>
        <v/>
      </c>
      <c r="B241" s="47" t="str">
        <f aca="false">IF($A241="","",IFERROR(INDEX('ISV Inventory'!$V$6:$V$255,MATCH(SMALL('ISV Inventory'!$AU$6:$AU$255,$A241),'ISV Inventory'!$AU$6:$AU$255,0)),""))</f>
        <v/>
      </c>
      <c r="C241" s="48" t="str">
        <f aca="false">IF($A241="","",IFERROR(INDEX('ISV Inventory'!$AA$6:$AA$255,MATCH(SMALL('ISV Inventory'!$AU$6:$AU$255,$A241),'ISV Inventory'!$AU$6:$AU$255,0)),""))</f>
        <v/>
      </c>
      <c r="D241" s="13" t="str">
        <f aca="false">IF($A241="","",IFERROR(INDEX('ISV Inventory'!$AB$6:$AB$255,MATCH(SMALL('ISV Inventory'!$AU$6:$AU$255,$A241),'ISV Inventory'!$AU$6:$AU$255,0))&amp;"",""))</f>
        <v/>
      </c>
      <c r="E241" s="13" t="str">
        <f aca="false">IF($A241="","",IFERROR(INDEX('ISV Inventory'!$B$6:$B$255,MATCH(SMALL('ISV Inventory'!$AU$6:$AU$255,$A241),'ISV Inventory'!$AU$6:$AU$255,0))&amp;"",""))</f>
        <v/>
      </c>
      <c r="F241" s="13" t="str">
        <f aca="false">IF($A241="","",IFERROR(INDEX('ISV Inventory'!$F$6:$F$255,MATCH(SMALL('ISV Inventory'!$AU$6:$AU$255,$A241),'ISV Inventory'!$AU$6:$AU$255,0))&amp;"",""))</f>
        <v/>
      </c>
      <c r="G241" s="49" t="str">
        <f aca="false">IF($A241="","",IFERROR(INDEX('ISV Inventory'!$R$6:$R$255,MATCH(SMALL('ISV Inventory'!$AU$6:$AU$255,$A241),'ISV Inventory'!$AU$6:$AU$255,0)),""))</f>
        <v/>
      </c>
      <c r="H241" s="13" t="str">
        <f aca="false">IF($A241="","",IFERROR(INDEX('ISV Inventory'!$X$6:$X$255,MATCH(SMALL('ISV Inventory'!$AU$6:$AU$255,$A241),'ISV Inventory'!$AU$6:$AU$255,0))&amp;"",""))</f>
        <v/>
      </c>
      <c r="I241" s="47" t="str">
        <f aca="false">IF($A241="","",IFERROR(INDEX('ISV Inventory'!$Z$6:$Z$255,MATCH(SMALL('ISV Inventory'!$AU$6:$AU$255,$A241),'ISV Inventory'!$AU$6:$AU$255,0)),""))</f>
        <v/>
      </c>
      <c r="J241" s="13" t="str">
        <f aca="false">IF($A241="","",IFERROR(INDEX('ISV Inventory'!$AG$6:$AG$255,MATCH(SMALL('ISV Inventory'!$AU$6:$AU$255,$A241),'ISV Inventory'!$AU$6:$AU$255,0))&amp;"",""))</f>
        <v/>
      </c>
      <c r="K241" s="13" t="str">
        <f aca="false">IF($A241="","",IFERROR(INDEX('ISV Inventory'!$AK$6:$AK$255,MATCH(SMALL('ISV Inventory'!$AU$6:$AU$255,$A241),'ISV Inventory'!$AU$6:$AU$255,0))&amp;"",""))</f>
        <v/>
      </c>
      <c r="L241" s="13" t="str">
        <f aca="false">IF($A241="","",IFERROR(INDEX('ISV Inventory'!$AR$6:$AR$255,MATCH(SMALL('ISV Inventory'!$AU$6:$AU$255,$A241),'ISV Inventory'!$AU$6:$AU$255,0))&amp;"",""))</f>
        <v/>
      </c>
      <c r="M241" s="13" t="str">
        <f aca="false">IF($A241="","",IFERROR(INDEX('ISV Inventory'!$AS$6:$AS$255,MATCH(SMALL('ISV Inventory'!$AU$6:$AU$255,$A241),'ISV Inventory'!$AU$6:$AU$255,0))&amp;"",""))</f>
        <v/>
      </c>
    </row>
    <row r="242" customFormat="false" ht="15" hidden="false" customHeight="false" outlineLevel="0" collapsed="false">
      <c r="A242" s="13" t="str">
        <f aca="false">IF(COUNT('ISV Inventory'!$AU$6:$AU$255)&lt;238,"",238)</f>
        <v/>
      </c>
      <c r="B242" s="47" t="str">
        <f aca="false">IF($A242="","",IFERROR(INDEX('ISV Inventory'!$V$6:$V$255,MATCH(SMALL('ISV Inventory'!$AU$6:$AU$255,$A242),'ISV Inventory'!$AU$6:$AU$255,0)),""))</f>
        <v/>
      </c>
      <c r="C242" s="48" t="str">
        <f aca="false">IF($A242="","",IFERROR(INDEX('ISV Inventory'!$AA$6:$AA$255,MATCH(SMALL('ISV Inventory'!$AU$6:$AU$255,$A242),'ISV Inventory'!$AU$6:$AU$255,0)),""))</f>
        <v/>
      </c>
      <c r="D242" s="13" t="str">
        <f aca="false">IF($A242="","",IFERROR(INDEX('ISV Inventory'!$AB$6:$AB$255,MATCH(SMALL('ISV Inventory'!$AU$6:$AU$255,$A242),'ISV Inventory'!$AU$6:$AU$255,0))&amp;"",""))</f>
        <v/>
      </c>
      <c r="E242" s="13" t="str">
        <f aca="false">IF($A242="","",IFERROR(INDEX('ISV Inventory'!$B$6:$B$255,MATCH(SMALL('ISV Inventory'!$AU$6:$AU$255,$A242),'ISV Inventory'!$AU$6:$AU$255,0))&amp;"",""))</f>
        <v/>
      </c>
      <c r="F242" s="13" t="str">
        <f aca="false">IF($A242="","",IFERROR(INDEX('ISV Inventory'!$F$6:$F$255,MATCH(SMALL('ISV Inventory'!$AU$6:$AU$255,$A242),'ISV Inventory'!$AU$6:$AU$255,0))&amp;"",""))</f>
        <v/>
      </c>
      <c r="G242" s="49" t="str">
        <f aca="false">IF($A242="","",IFERROR(INDEX('ISV Inventory'!$R$6:$R$255,MATCH(SMALL('ISV Inventory'!$AU$6:$AU$255,$A242),'ISV Inventory'!$AU$6:$AU$255,0)),""))</f>
        <v/>
      </c>
      <c r="H242" s="13" t="str">
        <f aca="false">IF($A242="","",IFERROR(INDEX('ISV Inventory'!$X$6:$X$255,MATCH(SMALL('ISV Inventory'!$AU$6:$AU$255,$A242),'ISV Inventory'!$AU$6:$AU$255,0))&amp;"",""))</f>
        <v/>
      </c>
      <c r="I242" s="47" t="str">
        <f aca="false">IF($A242="","",IFERROR(INDEX('ISV Inventory'!$Z$6:$Z$255,MATCH(SMALL('ISV Inventory'!$AU$6:$AU$255,$A242),'ISV Inventory'!$AU$6:$AU$255,0)),""))</f>
        <v/>
      </c>
      <c r="J242" s="13" t="str">
        <f aca="false">IF($A242="","",IFERROR(INDEX('ISV Inventory'!$AG$6:$AG$255,MATCH(SMALL('ISV Inventory'!$AU$6:$AU$255,$A242),'ISV Inventory'!$AU$6:$AU$255,0))&amp;"",""))</f>
        <v/>
      </c>
      <c r="K242" s="13" t="str">
        <f aca="false">IF($A242="","",IFERROR(INDEX('ISV Inventory'!$AK$6:$AK$255,MATCH(SMALL('ISV Inventory'!$AU$6:$AU$255,$A242),'ISV Inventory'!$AU$6:$AU$255,0))&amp;"",""))</f>
        <v/>
      </c>
      <c r="L242" s="13" t="str">
        <f aca="false">IF($A242="","",IFERROR(INDEX('ISV Inventory'!$AR$6:$AR$255,MATCH(SMALL('ISV Inventory'!$AU$6:$AU$255,$A242),'ISV Inventory'!$AU$6:$AU$255,0))&amp;"",""))</f>
        <v/>
      </c>
      <c r="M242" s="13" t="str">
        <f aca="false">IF($A242="","",IFERROR(INDEX('ISV Inventory'!$AS$6:$AS$255,MATCH(SMALL('ISV Inventory'!$AU$6:$AU$255,$A242),'ISV Inventory'!$AU$6:$AU$255,0))&amp;"",""))</f>
        <v/>
      </c>
    </row>
    <row r="243" customFormat="false" ht="15" hidden="false" customHeight="false" outlineLevel="0" collapsed="false">
      <c r="A243" s="13" t="str">
        <f aca="false">IF(COUNT('ISV Inventory'!$AU$6:$AU$255)&lt;239,"",239)</f>
        <v/>
      </c>
      <c r="B243" s="47" t="str">
        <f aca="false">IF($A243="","",IFERROR(INDEX('ISV Inventory'!$V$6:$V$255,MATCH(SMALL('ISV Inventory'!$AU$6:$AU$255,$A243),'ISV Inventory'!$AU$6:$AU$255,0)),""))</f>
        <v/>
      </c>
      <c r="C243" s="48" t="str">
        <f aca="false">IF($A243="","",IFERROR(INDEX('ISV Inventory'!$AA$6:$AA$255,MATCH(SMALL('ISV Inventory'!$AU$6:$AU$255,$A243),'ISV Inventory'!$AU$6:$AU$255,0)),""))</f>
        <v/>
      </c>
      <c r="D243" s="13" t="str">
        <f aca="false">IF($A243="","",IFERROR(INDEX('ISV Inventory'!$AB$6:$AB$255,MATCH(SMALL('ISV Inventory'!$AU$6:$AU$255,$A243),'ISV Inventory'!$AU$6:$AU$255,0))&amp;"",""))</f>
        <v/>
      </c>
      <c r="E243" s="13" t="str">
        <f aca="false">IF($A243="","",IFERROR(INDEX('ISV Inventory'!$B$6:$B$255,MATCH(SMALL('ISV Inventory'!$AU$6:$AU$255,$A243),'ISV Inventory'!$AU$6:$AU$255,0))&amp;"",""))</f>
        <v/>
      </c>
      <c r="F243" s="13" t="str">
        <f aca="false">IF($A243="","",IFERROR(INDEX('ISV Inventory'!$F$6:$F$255,MATCH(SMALL('ISV Inventory'!$AU$6:$AU$255,$A243),'ISV Inventory'!$AU$6:$AU$255,0))&amp;"",""))</f>
        <v/>
      </c>
      <c r="G243" s="49" t="str">
        <f aca="false">IF($A243="","",IFERROR(INDEX('ISV Inventory'!$R$6:$R$255,MATCH(SMALL('ISV Inventory'!$AU$6:$AU$255,$A243),'ISV Inventory'!$AU$6:$AU$255,0)),""))</f>
        <v/>
      </c>
      <c r="H243" s="13" t="str">
        <f aca="false">IF($A243="","",IFERROR(INDEX('ISV Inventory'!$X$6:$X$255,MATCH(SMALL('ISV Inventory'!$AU$6:$AU$255,$A243),'ISV Inventory'!$AU$6:$AU$255,0))&amp;"",""))</f>
        <v/>
      </c>
      <c r="I243" s="47" t="str">
        <f aca="false">IF($A243="","",IFERROR(INDEX('ISV Inventory'!$Z$6:$Z$255,MATCH(SMALL('ISV Inventory'!$AU$6:$AU$255,$A243),'ISV Inventory'!$AU$6:$AU$255,0)),""))</f>
        <v/>
      </c>
      <c r="J243" s="13" t="str">
        <f aca="false">IF($A243="","",IFERROR(INDEX('ISV Inventory'!$AG$6:$AG$255,MATCH(SMALL('ISV Inventory'!$AU$6:$AU$255,$A243),'ISV Inventory'!$AU$6:$AU$255,0))&amp;"",""))</f>
        <v/>
      </c>
      <c r="K243" s="13" t="str">
        <f aca="false">IF($A243="","",IFERROR(INDEX('ISV Inventory'!$AK$6:$AK$255,MATCH(SMALL('ISV Inventory'!$AU$6:$AU$255,$A243),'ISV Inventory'!$AU$6:$AU$255,0))&amp;"",""))</f>
        <v/>
      </c>
      <c r="L243" s="13" t="str">
        <f aca="false">IF($A243="","",IFERROR(INDEX('ISV Inventory'!$AR$6:$AR$255,MATCH(SMALL('ISV Inventory'!$AU$6:$AU$255,$A243),'ISV Inventory'!$AU$6:$AU$255,0))&amp;"",""))</f>
        <v/>
      </c>
      <c r="M243" s="13" t="str">
        <f aca="false">IF($A243="","",IFERROR(INDEX('ISV Inventory'!$AS$6:$AS$255,MATCH(SMALL('ISV Inventory'!$AU$6:$AU$255,$A243),'ISV Inventory'!$AU$6:$AU$255,0))&amp;"",""))</f>
        <v/>
      </c>
    </row>
    <row r="244" customFormat="false" ht="15" hidden="false" customHeight="false" outlineLevel="0" collapsed="false">
      <c r="A244" s="13" t="str">
        <f aca="false">IF(COUNT('ISV Inventory'!$AU$6:$AU$255)&lt;240,"",240)</f>
        <v/>
      </c>
      <c r="B244" s="47" t="str">
        <f aca="false">IF($A244="","",IFERROR(INDEX('ISV Inventory'!$V$6:$V$255,MATCH(SMALL('ISV Inventory'!$AU$6:$AU$255,$A244),'ISV Inventory'!$AU$6:$AU$255,0)),""))</f>
        <v/>
      </c>
      <c r="C244" s="48" t="str">
        <f aca="false">IF($A244="","",IFERROR(INDEX('ISV Inventory'!$AA$6:$AA$255,MATCH(SMALL('ISV Inventory'!$AU$6:$AU$255,$A244),'ISV Inventory'!$AU$6:$AU$255,0)),""))</f>
        <v/>
      </c>
      <c r="D244" s="13" t="str">
        <f aca="false">IF($A244="","",IFERROR(INDEX('ISV Inventory'!$AB$6:$AB$255,MATCH(SMALL('ISV Inventory'!$AU$6:$AU$255,$A244),'ISV Inventory'!$AU$6:$AU$255,0))&amp;"",""))</f>
        <v/>
      </c>
      <c r="E244" s="13" t="str">
        <f aca="false">IF($A244="","",IFERROR(INDEX('ISV Inventory'!$B$6:$B$255,MATCH(SMALL('ISV Inventory'!$AU$6:$AU$255,$A244),'ISV Inventory'!$AU$6:$AU$255,0))&amp;"",""))</f>
        <v/>
      </c>
      <c r="F244" s="13" t="str">
        <f aca="false">IF($A244="","",IFERROR(INDEX('ISV Inventory'!$F$6:$F$255,MATCH(SMALL('ISV Inventory'!$AU$6:$AU$255,$A244),'ISV Inventory'!$AU$6:$AU$255,0))&amp;"",""))</f>
        <v/>
      </c>
      <c r="G244" s="49" t="str">
        <f aca="false">IF($A244="","",IFERROR(INDEX('ISV Inventory'!$R$6:$R$255,MATCH(SMALL('ISV Inventory'!$AU$6:$AU$255,$A244),'ISV Inventory'!$AU$6:$AU$255,0)),""))</f>
        <v/>
      </c>
      <c r="H244" s="13" t="str">
        <f aca="false">IF($A244="","",IFERROR(INDEX('ISV Inventory'!$X$6:$X$255,MATCH(SMALL('ISV Inventory'!$AU$6:$AU$255,$A244),'ISV Inventory'!$AU$6:$AU$255,0))&amp;"",""))</f>
        <v/>
      </c>
      <c r="I244" s="47" t="str">
        <f aca="false">IF($A244="","",IFERROR(INDEX('ISV Inventory'!$Z$6:$Z$255,MATCH(SMALL('ISV Inventory'!$AU$6:$AU$255,$A244),'ISV Inventory'!$AU$6:$AU$255,0)),""))</f>
        <v/>
      </c>
      <c r="J244" s="13" t="str">
        <f aca="false">IF($A244="","",IFERROR(INDEX('ISV Inventory'!$AG$6:$AG$255,MATCH(SMALL('ISV Inventory'!$AU$6:$AU$255,$A244),'ISV Inventory'!$AU$6:$AU$255,0))&amp;"",""))</f>
        <v/>
      </c>
      <c r="K244" s="13" t="str">
        <f aca="false">IF($A244="","",IFERROR(INDEX('ISV Inventory'!$AK$6:$AK$255,MATCH(SMALL('ISV Inventory'!$AU$6:$AU$255,$A244),'ISV Inventory'!$AU$6:$AU$255,0))&amp;"",""))</f>
        <v/>
      </c>
      <c r="L244" s="13" t="str">
        <f aca="false">IF($A244="","",IFERROR(INDEX('ISV Inventory'!$AR$6:$AR$255,MATCH(SMALL('ISV Inventory'!$AU$6:$AU$255,$A244),'ISV Inventory'!$AU$6:$AU$255,0))&amp;"",""))</f>
        <v/>
      </c>
      <c r="M244" s="13" t="str">
        <f aca="false">IF($A244="","",IFERROR(INDEX('ISV Inventory'!$AS$6:$AS$255,MATCH(SMALL('ISV Inventory'!$AU$6:$AU$255,$A244),'ISV Inventory'!$AU$6:$AU$255,0))&amp;"",""))</f>
        <v/>
      </c>
    </row>
    <row r="245" customFormat="false" ht="15" hidden="false" customHeight="false" outlineLevel="0" collapsed="false">
      <c r="A245" s="13" t="str">
        <f aca="false">IF(COUNT('ISV Inventory'!$AU$6:$AU$255)&lt;241,"",241)</f>
        <v/>
      </c>
      <c r="B245" s="47" t="str">
        <f aca="false">IF($A245="","",IFERROR(INDEX('ISV Inventory'!$V$6:$V$255,MATCH(SMALL('ISV Inventory'!$AU$6:$AU$255,$A245),'ISV Inventory'!$AU$6:$AU$255,0)),""))</f>
        <v/>
      </c>
      <c r="C245" s="48" t="str">
        <f aca="false">IF($A245="","",IFERROR(INDEX('ISV Inventory'!$AA$6:$AA$255,MATCH(SMALL('ISV Inventory'!$AU$6:$AU$255,$A245),'ISV Inventory'!$AU$6:$AU$255,0)),""))</f>
        <v/>
      </c>
      <c r="D245" s="13" t="str">
        <f aca="false">IF($A245="","",IFERROR(INDEX('ISV Inventory'!$AB$6:$AB$255,MATCH(SMALL('ISV Inventory'!$AU$6:$AU$255,$A245),'ISV Inventory'!$AU$6:$AU$255,0))&amp;"",""))</f>
        <v/>
      </c>
      <c r="E245" s="13" t="str">
        <f aca="false">IF($A245="","",IFERROR(INDEX('ISV Inventory'!$B$6:$B$255,MATCH(SMALL('ISV Inventory'!$AU$6:$AU$255,$A245),'ISV Inventory'!$AU$6:$AU$255,0))&amp;"",""))</f>
        <v/>
      </c>
      <c r="F245" s="13" t="str">
        <f aca="false">IF($A245="","",IFERROR(INDEX('ISV Inventory'!$F$6:$F$255,MATCH(SMALL('ISV Inventory'!$AU$6:$AU$255,$A245),'ISV Inventory'!$AU$6:$AU$255,0))&amp;"",""))</f>
        <v/>
      </c>
      <c r="G245" s="49" t="str">
        <f aca="false">IF($A245="","",IFERROR(INDEX('ISV Inventory'!$R$6:$R$255,MATCH(SMALL('ISV Inventory'!$AU$6:$AU$255,$A245),'ISV Inventory'!$AU$6:$AU$255,0)),""))</f>
        <v/>
      </c>
      <c r="H245" s="13" t="str">
        <f aca="false">IF($A245="","",IFERROR(INDEX('ISV Inventory'!$X$6:$X$255,MATCH(SMALL('ISV Inventory'!$AU$6:$AU$255,$A245),'ISV Inventory'!$AU$6:$AU$255,0))&amp;"",""))</f>
        <v/>
      </c>
      <c r="I245" s="47" t="str">
        <f aca="false">IF($A245="","",IFERROR(INDEX('ISV Inventory'!$Z$6:$Z$255,MATCH(SMALL('ISV Inventory'!$AU$6:$AU$255,$A245),'ISV Inventory'!$AU$6:$AU$255,0)),""))</f>
        <v/>
      </c>
      <c r="J245" s="13" t="str">
        <f aca="false">IF($A245="","",IFERROR(INDEX('ISV Inventory'!$AG$6:$AG$255,MATCH(SMALL('ISV Inventory'!$AU$6:$AU$255,$A245),'ISV Inventory'!$AU$6:$AU$255,0))&amp;"",""))</f>
        <v/>
      </c>
      <c r="K245" s="13" t="str">
        <f aca="false">IF($A245="","",IFERROR(INDEX('ISV Inventory'!$AK$6:$AK$255,MATCH(SMALL('ISV Inventory'!$AU$6:$AU$255,$A245),'ISV Inventory'!$AU$6:$AU$255,0))&amp;"",""))</f>
        <v/>
      </c>
      <c r="L245" s="13" t="str">
        <f aca="false">IF($A245="","",IFERROR(INDEX('ISV Inventory'!$AR$6:$AR$255,MATCH(SMALL('ISV Inventory'!$AU$6:$AU$255,$A245),'ISV Inventory'!$AU$6:$AU$255,0))&amp;"",""))</f>
        <v/>
      </c>
      <c r="M245" s="13" t="str">
        <f aca="false">IF($A245="","",IFERROR(INDEX('ISV Inventory'!$AS$6:$AS$255,MATCH(SMALL('ISV Inventory'!$AU$6:$AU$255,$A245),'ISV Inventory'!$AU$6:$AU$255,0))&amp;"",""))</f>
        <v/>
      </c>
    </row>
    <row r="246" customFormat="false" ht="15" hidden="false" customHeight="false" outlineLevel="0" collapsed="false">
      <c r="A246" s="13" t="str">
        <f aca="false">IF(COUNT('ISV Inventory'!$AU$6:$AU$255)&lt;242,"",242)</f>
        <v/>
      </c>
      <c r="B246" s="47" t="str">
        <f aca="false">IF($A246="","",IFERROR(INDEX('ISV Inventory'!$V$6:$V$255,MATCH(SMALL('ISV Inventory'!$AU$6:$AU$255,$A246),'ISV Inventory'!$AU$6:$AU$255,0)),""))</f>
        <v/>
      </c>
      <c r="C246" s="48" t="str">
        <f aca="false">IF($A246="","",IFERROR(INDEX('ISV Inventory'!$AA$6:$AA$255,MATCH(SMALL('ISV Inventory'!$AU$6:$AU$255,$A246),'ISV Inventory'!$AU$6:$AU$255,0)),""))</f>
        <v/>
      </c>
      <c r="D246" s="13" t="str">
        <f aca="false">IF($A246="","",IFERROR(INDEX('ISV Inventory'!$AB$6:$AB$255,MATCH(SMALL('ISV Inventory'!$AU$6:$AU$255,$A246),'ISV Inventory'!$AU$6:$AU$255,0))&amp;"",""))</f>
        <v/>
      </c>
      <c r="E246" s="13" t="str">
        <f aca="false">IF($A246="","",IFERROR(INDEX('ISV Inventory'!$B$6:$B$255,MATCH(SMALL('ISV Inventory'!$AU$6:$AU$255,$A246),'ISV Inventory'!$AU$6:$AU$255,0))&amp;"",""))</f>
        <v/>
      </c>
      <c r="F246" s="13" t="str">
        <f aca="false">IF($A246="","",IFERROR(INDEX('ISV Inventory'!$F$6:$F$255,MATCH(SMALL('ISV Inventory'!$AU$6:$AU$255,$A246),'ISV Inventory'!$AU$6:$AU$255,0))&amp;"",""))</f>
        <v/>
      </c>
      <c r="G246" s="49" t="str">
        <f aca="false">IF($A246="","",IFERROR(INDEX('ISV Inventory'!$R$6:$R$255,MATCH(SMALL('ISV Inventory'!$AU$6:$AU$255,$A246),'ISV Inventory'!$AU$6:$AU$255,0)),""))</f>
        <v/>
      </c>
      <c r="H246" s="13" t="str">
        <f aca="false">IF($A246="","",IFERROR(INDEX('ISV Inventory'!$X$6:$X$255,MATCH(SMALL('ISV Inventory'!$AU$6:$AU$255,$A246),'ISV Inventory'!$AU$6:$AU$255,0))&amp;"",""))</f>
        <v/>
      </c>
      <c r="I246" s="47" t="str">
        <f aca="false">IF($A246="","",IFERROR(INDEX('ISV Inventory'!$Z$6:$Z$255,MATCH(SMALL('ISV Inventory'!$AU$6:$AU$255,$A246),'ISV Inventory'!$AU$6:$AU$255,0)),""))</f>
        <v/>
      </c>
      <c r="J246" s="13" t="str">
        <f aca="false">IF($A246="","",IFERROR(INDEX('ISV Inventory'!$AG$6:$AG$255,MATCH(SMALL('ISV Inventory'!$AU$6:$AU$255,$A246),'ISV Inventory'!$AU$6:$AU$255,0))&amp;"",""))</f>
        <v/>
      </c>
      <c r="K246" s="13" t="str">
        <f aca="false">IF($A246="","",IFERROR(INDEX('ISV Inventory'!$AK$6:$AK$255,MATCH(SMALL('ISV Inventory'!$AU$6:$AU$255,$A246),'ISV Inventory'!$AU$6:$AU$255,0))&amp;"",""))</f>
        <v/>
      </c>
      <c r="L246" s="13" t="str">
        <f aca="false">IF($A246="","",IFERROR(INDEX('ISV Inventory'!$AR$6:$AR$255,MATCH(SMALL('ISV Inventory'!$AU$6:$AU$255,$A246),'ISV Inventory'!$AU$6:$AU$255,0))&amp;"",""))</f>
        <v/>
      </c>
      <c r="M246" s="13" t="str">
        <f aca="false">IF($A246="","",IFERROR(INDEX('ISV Inventory'!$AS$6:$AS$255,MATCH(SMALL('ISV Inventory'!$AU$6:$AU$255,$A246),'ISV Inventory'!$AU$6:$AU$255,0))&amp;"",""))</f>
        <v/>
      </c>
    </row>
    <row r="247" customFormat="false" ht="15" hidden="false" customHeight="false" outlineLevel="0" collapsed="false">
      <c r="A247" s="13" t="str">
        <f aca="false">IF(COUNT('ISV Inventory'!$AU$6:$AU$255)&lt;243,"",243)</f>
        <v/>
      </c>
      <c r="B247" s="47" t="str">
        <f aca="false">IF($A247="","",IFERROR(INDEX('ISV Inventory'!$V$6:$V$255,MATCH(SMALL('ISV Inventory'!$AU$6:$AU$255,$A247),'ISV Inventory'!$AU$6:$AU$255,0)),""))</f>
        <v/>
      </c>
      <c r="C247" s="48" t="str">
        <f aca="false">IF($A247="","",IFERROR(INDEX('ISV Inventory'!$AA$6:$AA$255,MATCH(SMALL('ISV Inventory'!$AU$6:$AU$255,$A247),'ISV Inventory'!$AU$6:$AU$255,0)),""))</f>
        <v/>
      </c>
      <c r="D247" s="13" t="str">
        <f aca="false">IF($A247="","",IFERROR(INDEX('ISV Inventory'!$AB$6:$AB$255,MATCH(SMALL('ISV Inventory'!$AU$6:$AU$255,$A247),'ISV Inventory'!$AU$6:$AU$255,0))&amp;"",""))</f>
        <v/>
      </c>
      <c r="E247" s="13" t="str">
        <f aca="false">IF($A247="","",IFERROR(INDEX('ISV Inventory'!$B$6:$B$255,MATCH(SMALL('ISV Inventory'!$AU$6:$AU$255,$A247),'ISV Inventory'!$AU$6:$AU$255,0))&amp;"",""))</f>
        <v/>
      </c>
      <c r="F247" s="13" t="str">
        <f aca="false">IF($A247="","",IFERROR(INDEX('ISV Inventory'!$F$6:$F$255,MATCH(SMALL('ISV Inventory'!$AU$6:$AU$255,$A247),'ISV Inventory'!$AU$6:$AU$255,0))&amp;"",""))</f>
        <v/>
      </c>
      <c r="G247" s="49" t="str">
        <f aca="false">IF($A247="","",IFERROR(INDEX('ISV Inventory'!$R$6:$R$255,MATCH(SMALL('ISV Inventory'!$AU$6:$AU$255,$A247),'ISV Inventory'!$AU$6:$AU$255,0)),""))</f>
        <v/>
      </c>
      <c r="H247" s="13" t="str">
        <f aca="false">IF($A247="","",IFERROR(INDEX('ISV Inventory'!$X$6:$X$255,MATCH(SMALL('ISV Inventory'!$AU$6:$AU$255,$A247),'ISV Inventory'!$AU$6:$AU$255,0))&amp;"",""))</f>
        <v/>
      </c>
      <c r="I247" s="47" t="str">
        <f aca="false">IF($A247="","",IFERROR(INDEX('ISV Inventory'!$Z$6:$Z$255,MATCH(SMALL('ISV Inventory'!$AU$6:$AU$255,$A247),'ISV Inventory'!$AU$6:$AU$255,0)),""))</f>
        <v/>
      </c>
      <c r="J247" s="13" t="str">
        <f aca="false">IF($A247="","",IFERROR(INDEX('ISV Inventory'!$AG$6:$AG$255,MATCH(SMALL('ISV Inventory'!$AU$6:$AU$255,$A247),'ISV Inventory'!$AU$6:$AU$255,0))&amp;"",""))</f>
        <v/>
      </c>
      <c r="K247" s="13" t="str">
        <f aca="false">IF($A247="","",IFERROR(INDEX('ISV Inventory'!$AK$6:$AK$255,MATCH(SMALL('ISV Inventory'!$AU$6:$AU$255,$A247),'ISV Inventory'!$AU$6:$AU$255,0))&amp;"",""))</f>
        <v/>
      </c>
      <c r="L247" s="13" t="str">
        <f aca="false">IF($A247="","",IFERROR(INDEX('ISV Inventory'!$AR$6:$AR$255,MATCH(SMALL('ISV Inventory'!$AU$6:$AU$255,$A247),'ISV Inventory'!$AU$6:$AU$255,0))&amp;"",""))</f>
        <v/>
      </c>
      <c r="M247" s="13" t="str">
        <f aca="false">IF($A247="","",IFERROR(INDEX('ISV Inventory'!$AS$6:$AS$255,MATCH(SMALL('ISV Inventory'!$AU$6:$AU$255,$A247),'ISV Inventory'!$AU$6:$AU$255,0))&amp;"",""))</f>
        <v/>
      </c>
    </row>
    <row r="248" customFormat="false" ht="15" hidden="false" customHeight="false" outlineLevel="0" collapsed="false">
      <c r="A248" s="13" t="str">
        <f aca="false">IF(COUNT('ISV Inventory'!$AU$6:$AU$255)&lt;244,"",244)</f>
        <v/>
      </c>
      <c r="B248" s="47" t="str">
        <f aca="false">IF($A248="","",IFERROR(INDEX('ISV Inventory'!$V$6:$V$255,MATCH(SMALL('ISV Inventory'!$AU$6:$AU$255,$A248),'ISV Inventory'!$AU$6:$AU$255,0)),""))</f>
        <v/>
      </c>
      <c r="C248" s="48" t="str">
        <f aca="false">IF($A248="","",IFERROR(INDEX('ISV Inventory'!$AA$6:$AA$255,MATCH(SMALL('ISV Inventory'!$AU$6:$AU$255,$A248),'ISV Inventory'!$AU$6:$AU$255,0)),""))</f>
        <v/>
      </c>
      <c r="D248" s="13" t="str">
        <f aca="false">IF($A248="","",IFERROR(INDEX('ISV Inventory'!$AB$6:$AB$255,MATCH(SMALL('ISV Inventory'!$AU$6:$AU$255,$A248),'ISV Inventory'!$AU$6:$AU$255,0))&amp;"",""))</f>
        <v/>
      </c>
      <c r="E248" s="13" t="str">
        <f aca="false">IF($A248="","",IFERROR(INDEX('ISV Inventory'!$B$6:$B$255,MATCH(SMALL('ISV Inventory'!$AU$6:$AU$255,$A248),'ISV Inventory'!$AU$6:$AU$255,0))&amp;"",""))</f>
        <v/>
      </c>
      <c r="F248" s="13" t="str">
        <f aca="false">IF($A248="","",IFERROR(INDEX('ISV Inventory'!$F$6:$F$255,MATCH(SMALL('ISV Inventory'!$AU$6:$AU$255,$A248),'ISV Inventory'!$AU$6:$AU$255,0))&amp;"",""))</f>
        <v/>
      </c>
      <c r="G248" s="49" t="str">
        <f aca="false">IF($A248="","",IFERROR(INDEX('ISV Inventory'!$R$6:$R$255,MATCH(SMALL('ISV Inventory'!$AU$6:$AU$255,$A248),'ISV Inventory'!$AU$6:$AU$255,0)),""))</f>
        <v/>
      </c>
      <c r="H248" s="13" t="str">
        <f aca="false">IF($A248="","",IFERROR(INDEX('ISV Inventory'!$X$6:$X$255,MATCH(SMALL('ISV Inventory'!$AU$6:$AU$255,$A248),'ISV Inventory'!$AU$6:$AU$255,0))&amp;"",""))</f>
        <v/>
      </c>
      <c r="I248" s="47" t="str">
        <f aca="false">IF($A248="","",IFERROR(INDEX('ISV Inventory'!$Z$6:$Z$255,MATCH(SMALL('ISV Inventory'!$AU$6:$AU$255,$A248),'ISV Inventory'!$AU$6:$AU$255,0)),""))</f>
        <v/>
      </c>
      <c r="J248" s="13" t="str">
        <f aca="false">IF($A248="","",IFERROR(INDEX('ISV Inventory'!$AG$6:$AG$255,MATCH(SMALL('ISV Inventory'!$AU$6:$AU$255,$A248),'ISV Inventory'!$AU$6:$AU$255,0))&amp;"",""))</f>
        <v/>
      </c>
      <c r="K248" s="13" t="str">
        <f aca="false">IF($A248="","",IFERROR(INDEX('ISV Inventory'!$AK$6:$AK$255,MATCH(SMALL('ISV Inventory'!$AU$6:$AU$255,$A248),'ISV Inventory'!$AU$6:$AU$255,0))&amp;"",""))</f>
        <v/>
      </c>
      <c r="L248" s="13" t="str">
        <f aca="false">IF($A248="","",IFERROR(INDEX('ISV Inventory'!$AR$6:$AR$255,MATCH(SMALL('ISV Inventory'!$AU$6:$AU$255,$A248),'ISV Inventory'!$AU$6:$AU$255,0))&amp;"",""))</f>
        <v/>
      </c>
      <c r="M248" s="13" t="str">
        <f aca="false">IF($A248="","",IFERROR(INDEX('ISV Inventory'!$AS$6:$AS$255,MATCH(SMALL('ISV Inventory'!$AU$6:$AU$255,$A248),'ISV Inventory'!$AU$6:$AU$255,0))&amp;"",""))</f>
        <v/>
      </c>
    </row>
    <row r="249" customFormat="false" ht="15" hidden="false" customHeight="false" outlineLevel="0" collapsed="false">
      <c r="A249" s="13" t="str">
        <f aca="false">IF(COUNT('ISV Inventory'!$AU$6:$AU$255)&lt;245,"",245)</f>
        <v/>
      </c>
      <c r="B249" s="47" t="str">
        <f aca="false">IF($A249="","",IFERROR(INDEX('ISV Inventory'!$V$6:$V$255,MATCH(SMALL('ISV Inventory'!$AU$6:$AU$255,$A249),'ISV Inventory'!$AU$6:$AU$255,0)),""))</f>
        <v/>
      </c>
      <c r="C249" s="48" t="str">
        <f aca="false">IF($A249="","",IFERROR(INDEX('ISV Inventory'!$AA$6:$AA$255,MATCH(SMALL('ISV Inventory'!$AU$6:$AU$255,$A249),'ISV Inventory'!$AU$6:$AU$255,0)),""))</f>
        <v/>
      </c>
      <c r="D249" s="13" t="str">
        <f aca="false">IF($A249="","",IFERROR(INDEX('ISV Inventory'!$AB$6:$AB$255,MATCH(SMALL('ISV Inventory'!$AU$6:$AU$255,$A249),'ISV Inventory'!$AU$6:$AU$255,0))&amp;"",""))</f>
        <v/>
      </c>
      <c r="E249" s="13" t="str">
        <f aca="false">IF($A249="","",IFERROR(INDEX('ISV Inventory'!$B$6:$B$255,MATCH(SMALL('ISV Inventory'!$AU$6:$AU$255,$A249),'ISV Inventory'!$AU$6:$AU$255,0))&amp;"",""))</f>
        <v/>
      </c>
      <c r="F249" s="13" t="str">
        <f aca="false">IF($A249="","",IFERROR(INDEX('ISV Inventory'!$F$6:$F$255,MATCH(SMALL('ISV Inventory'!$AU$6:$AU$255,$A249),'ISV Inventory'!$AU$6:$AU$255,0))&amp;"",""))</f>
        <v/>
      </c>
      <c r="G249" s="49" t="str">
        <f aca="false">IF($A249="","",IFERROR(INDEX('ISV Inventory'!$R$6:$R$255,MATCH(SMALL('ISV Inventory'!$AU$6:$AU$255,$A249),'ISV Inventory'!$AU$6:$AU$255,0)),""))</f>
        <v/>
      </c>
      <c r="H249" s="13" t="str">
        <f aca="false">IF($A249="","",IFERROR(INDEX('ISV Inventory'!$X$6:$X$255,MATCH(SMALL('ISV Inventory'!$AU$6:$AU$255,$A249),'ISV Inventory'!$AU$6:$AU$255,0))&amp;"",""))</f>
        <v/>
      </c>
      <c r="I249" s="47" t="str">
        <f aca="false">IF($A249="","",IFERROR(INDEX('ISV Inventory'!$Z$6:$Z$255,MATCH(SMALL('ISV Inventory'!$AU$6:$AU$255,$A249),'ISV Inventory'!$AU$6:$AU$255,0)),""))</f>
        <v/>
      </c>
      <c r="J249" s="13" t="str">
        <f aca="false">IF($A249="","",IFERROR(INDEX('ISV Inventory'!$AG$6:$AG$255,MATCH(SMALL('ISV Inventory'!$AU$6:$AU$255,$A249),'ISV Inventory'!$AU$6:$AU$255,0))&amp;"",""))</f>
        <v/>
      </c>
      <c r="K249" s="13" t="str">
        <f aca="false">IF($A249="","",IFERROR(INDEX('ISV Inventory'!$AK$6:$AK$255,MATCH(SMALL('ISV Inventory'!$AU$6:$AU$255,$A249),'ISV Inventory'!$AU$6:$AU$255,0))&amp;"",""))</f>
        <v/>
      </c>
      <c r="L249" s="13" t="str">
        <f aca="false">IF($A249="","",IFERROR(INDEX('ISV Inventory'!$AR$6:$AR$255,MATCH(SMALL('ISV Inventory'!$AU$6:$AU$255,$A249),'ISV Inventory'!$AU$6:$AU$255,0))&amp;"",""))</f>
        <v/>
      </c>
      <c r="M249" s="13" t="str">
        <f aca="false">IF($A249="","",IFERROR(INDEX('ISV Inventory'!$AS$6:$AS$255,MATCH(SMALL('ISV Inventory'!$AU$6:$AU$255,$A249),'ISV Inventory'!$AU$6:$AU$255,0))&amp;"",""))</f>
        <v/>
      </c>
    </row>
    <row r="250" customFormat="false" ht="15" hidden="false" customHeight="false" outlineLevel="0" collapsed="false">
      <c r="A250" s="13" t="str">
        <f aca="false">IF(COUNT('ISV Inventory'!$AU$6:$AU$255)&lt;246,"",246)</f>
        <v/>
      </c>
      <c r="B250" s="47" t="str">
        <f aca="false">IF($A250="","",IFERROR(INDEX('ISV Inventory'!$V$6:$V$255,MATCH(SMALL('ISV Inventory'!$AU$6:$AU$255,$A250),'ISV Inventory'!$AU$6:$AU$255,0)),""))</f>
        <v/>
      </c>
      <c r="C250" s="48" t="str">
        <f aca="false">IF($A250="","",IFERROR(INDEX('ISV Inventory'!$AA$6:$AA$255,MATCH(SMALL('ISV Inventory'!$AU$6:$AU$255,$A250),'ISV Inventory'!$AU$6:$AU$255,0)),""))</f>
        <v/>
      </c>
      <c r="D250" s="13" t="str">
        <f aca="false">IF($A250="","",IFERROR(INDEX('ISV Inventory'!$AB$6:$AB$255,MATCH(SMALL('ISV Inventory'!$AU$6:$AU$255,$A250),'ISV Inventory'!$AU$6:$AU$255,0))&amp;"",""))</f>
        <v/>
      </c>
      <c r="E250" s="13" t="str">
        <f aca="false">IF($A250="","",IFERROR(INDEX('ISV Inventory'!$B$6:$B$255,MATCH(SMALL('ISV Inventory'!$AU$6:$AU$255,$A250),'ISV Inventory'!$AU$6:$AU$255,0))&amp;"",""))</f>
        <v/>
      </c>
      <c r="F250" s="13" t="str">
        <f aca="false">IF($A250="","",IFERROR(INDEX('ISV Inventory'!$F$6:$F$255,MATCH(SMALL('ISV Inventory'!$AU$6:$AU$255,$A250),'ISV Inventory'!$AU$6:$AU$255,0))&amp;"",""))</f>
        <v/>
      </c>
      <c r="G250" s="49" t="str">
        <f aca="false">IF($A250="","",IFERROR(INDEX('ISV Inventory'!$R$6:$R$255,MATCH(SMALL('ISV Inventory'!$AU$6:$AU$255,$A250),'ISV Inventory'!$AU$6:$AU$255,0)),""))</f>
        <v/>
      </c>
      <c r="H250" s="13" t="str">
        <f aca="false">IF($A250="","",IFERROR(INDEX('ISV Inventory'!$X$6:$X$255,MATCH(SMALL('ISV Inventory'!$AU$6:$AU$255,$A250),'ISV Inventory'!$AU$6:$AU$255,0))&amp;"",""))</f>
        <v/>
      </c>
      <c r="I250" s="47" t="str">
        <f aca="false">IF($A250="","",IFERROR(INDEX('ISV Inventory'!$Z$6:$Z$255,MATCH(SMALL('ISV Inventory'!$AU$6:$AU$255,$A250),'ISV Inventory'!$AU$6:$AU$255,0)),""))</f>
        <v/>
      </c>
      <c r="J250" s="13" t="str">
        <f aca="false">IF($A250="","",IFERROR(INDEX('ISV Inventory'!$AG$6:$AG$255,MATCH(SMALL('ISV Inventory'!$AU$6:$AU$255,$A250),'ISV Inventory'!$AU$6:$AU$255,0))&amp;"",""))</f>
        <v/>
      </c>
      <c r="K250" s="13" t="str">
        <f aca="false">IF($A250="","",IFERROR(INDEX('ISV Inventory'!$AK$6:$AK$255,MATCH(SMALL('ISV Inventory'!$AU$6:$AU$255,$A250),'ISV Inventory'!$AU$6:$AU$255,0))&amp;"",""))</f>
        <v/>
      </c>
      <c r="L250" s="13" t="str">
        <f aca="false">IF($A250="","",IFERROR(INDEX('ISV Inventory'!$AR$6:$AR$255,MATCH(SMALL('ISV Inventory'!$AU$6:$AU$255,$A250),'ISV Inventory'!$AU$6:$AU$255,0))&amp;"",""))</f>
        <v/>
      </c>
      <c r="M250" s="13" t="str">
        <f aca="false">IF($A250="","",IFERROR(INDEX('ISV Inventory'!$AS$6:$AS$255,MATCH(SMALL('ISV Inventory'!$AU$6:$AU$255,$A250),'ISV Inventory'!$AU$6:$AU$255,0))&amp;"",""))</f>
        <v/>
      </c>
    </row>
    <row r="251" customFormat="false" ht="15" hidden="false" customHeight="false" outlineLevel="0" collapsed="false">
      <c r="A251" s="13" t="str">
        <f aca="false">IF(COUNT('ISV Inventory'!$AU$6:$AU$255)&lt;247,"",247)</f>
        <v/>
      </c>
      <c r="B251" s="47" t="str">
        <f aca="false">IF($A251="","",IFERROR(INDEX('ISV Inventory'!$V$6:$V$255,MATCH(SMALL('ISV Inventory'!$AU$6:$AU$255,$A251),'ISV Inventory'!$AU$6:$AU$255,0)),""))</f>
        <v/>
      </c>
      <c r="C251" s="48" t="str">
        <f aca="false">IF($A251="","",IFERROR(INDEX('ISV Inventory'!$AA$6:$AA$255,MATCH(SMALL('ISV Inventory'!$AU$6:$AU$255,$A251),'ISV Inventory'!$AU$6:$AU$255,0)),""))</f>
        <v/>
      </c>
      <c r="D251" s="13" t="str">
        <f aca="false">IF($A251="","",IFERROR(INDEX('ISV Inventory'!$AB$6:$AB$255,MATCH(SMALL('ISV Inventory'!$AU$6:$AU$255,$A251),'ISV Inventory'!$AU$6:$AU$255,0))&amp;"",""))</f>
        <v/>
      </c>
      <c r="E251" s="13" t="str">
        <f aca="false">IF($A251="","",IFERROR(INDEX('ISV Inventory'!$B$6:$B$255,MATCH(SMALL('ISV Inventory'!$AU$6:$AU$255,$A251),'ISV Inventory'!$AU$6:$AU$255,0))&amp;"",""))</f>
        <v/>
      </c>
      <c r="F251" s="13" t="str">
        <f aca="false">IF($A251="","",IFERROR(INDEX('ISV Inventory'!$F$6:$F$255,MATCH(SMALL('ISV Inventory'!$AU$6:$AU$255,$A251),'ISV Inventory'!$AU$6:$AU$255,0))&amp;"",""))</f>
        <v/>
      </c>
      <c r="G251" s="49" t="str">
        <f aca="false">IF($A251="","",IFERROR(INDEX('ISV Inventory'!$R$6:$R$255,MATCH(SMALL('ISV Inventory'!$AU$6:$AU$255,$A251),'ISV Inventory'!$AU$6:$AU$255,0)),""))</f>
        <v/>
      </c>
      <c r="H251" s="13" t="str">
        <f aca="false">IF($A251="","",IFERROR(INDEX('ISV Inventory'!$X$6:$X$255,MATCH(SMALL('ISV Inventory'!$AU$6:$AU$255,$A251),'ISV Inventory'!$AU$6:$AU$255,0))&amp;"",""))</f>
        <v/>
      </c>
      <c r="I251" s="47" t="str">
        <f aca="false">IF($A251="","",IFERROR(INDEX('ISV Inventory'!$Z$6:$Z$255,MATCH(SMALL('ISV Inventory'!$AU$6:$AU$255,$A251),'ISV Inventory'!$AU$6:$AU$255,0)),""))</f>
        <v/>
      </c>
      <c r="J251" s="13" t="str">
        <f aca="false">IF($A251="","",IFERROR(INDEX('ISV Inventory'!$AG$6:$AG$255,MATCH(SMALL('ISV Inventory'!$AU$6:$AU$255,$A251),'ISV Inventory'!$AU$6:$AU$255,0))&amp;"",""))</f>
        <v/>
      </c>
      <c r="K251" s="13" t="str">
        <f aca="false">IF($A251="","",IFERROR(INDEX('ISV Inventory'!$AK$6:$AK$255,MATCH(SMALL('ISV Inventory'!$AU$6:$AU$255,$A251),'ISV Inventory'!$AU$6:$AU$255,0))&amp;"",""))</f>
        <v/>
      </c>
      <c r="L251" s="13" t="str">
        <f aca="false">IF($A251="","",IFERROR(INDEX('ISV Inventory'!$AR$6:$AR$255,MATCH(SMALL('ISV Inventory'!$AU$6:$AU$255,$A251),'ISV Inventory'!$AU$6:$AU$255,0))&amp;"",""))</f>
        <v/>
      </c>
      <c r="M251" s="13" t="str">
        <f aca="false">IF($A251="","",IFERROR(INDEX('ISV Inventory'!$AS$6:$AS$255,MATCH(SMALL('ISV Inventory'!$AU$6:$AU$255,$A251),'ISV Inventory'!$AU$6:$AU$255,0))&amp;"",""))</f>
        <v/>
      </c>
    </row>
    <row r="252" customFormat="false" ht="15" hidden="false" customHeight="false" outlineLevel="0" collapsed="false">
      <c r="A252" s="13" t="str">
        <f aca="false">IF(COUNT('ISV Inventory'!$AU$6:$AU$255)&lt;248,"",248)</f>
        <v/>
      </c>
      <c r="B252" s="47" t="str">
        <f aca="false">IF($A252="","",IFERROR(INDEX('ISV Inventory'!$V$6:$V$255,MATCH(SMALL('ISV Inventory'!$AU$6:$AU$255,$A252),'ISV Inventory'!$AU$6:$AU$255,0)),""))</f>
        <v/>
      </c>
      <c r="C252" s="48" t="str">
        <f aca="false">IF($A252="","",IFERROR(INDEX('ISV Inventory'!$AA$6:$AA$255,MATCH(SMALL('ISV Inventory'!$AU$6:$AU$255,$A252),'ISV Inventory'!$AU$6:$AU$255,0)),""))</f>
        <v/>
      </c>
      <c r="D252" s="13" t="str">
        <f aca="false">IF($A252="","",IFERROR(INDEX('ISV Inventory'!$AB$6:$AB$255,MATCH(SMALL('ISV Inventory'!$AU$6:$AU$255,$A252),'ISV Inventory'!$AU$6:$AU$255,0))&amp;"",""))</f>
        <v/>
      </c>
      <c r="E252" s="13" t="str">
        <f aca="false">IF($A252="","",IFERROR(INDEX('ISV Inventory'!$B$6:$B$255,MATCH(SMALL('ISV Inventory'!$AU$6:$AU$255,$A252),'ISV Inventory'!$AU$6:$AU$255,0))&amp;"",""))</f>
        <v/>
      </c>
      <c r="F252" s="13" t="str">
        <f aca="false">IF($A252="","",IFERROR(INDEX('ISV Inventory'!$F$6:$F$255,MATCH(SMALL('ISV Inventory'!$AU$6:$AU$255,$A252),'ISV Inventory'!$AU$6:$AU$255,0))&amp;"",""))</f>
        <v/>
      </c>
      <c r="G252" s="49" t="str">
        <f aca="false">IF($A252="","",IFERROR(INDEX('ISV Inventory'!$R$6:$R$255,MATCH(SMALL('ISV Inventory'!$AU$6:$AU$255,$A252),'ISV Inventory'!$AU$6:$AU$255,0)),""))</f>
        <v/>
      </c>
      <c r="H252" s="13" t="str">
        <f aca="false">IF($A252="","",IFERROR(INDEX('ISV Inventory'!$X$6:$X$255,MATCH(SMALL('ISV Inventory'!$AU$6:$AU$255,$A252),'ISV Inventory'!$AU$6:$AU$255,0))&amp;"",""))</f>
        <v/>
      </c>
      <c r="I252" s="47" t="str">
        <f aca="false">IF($A252="","",IFERROR(INDEX('ISV Inventory'!$Z$6:$Z$255,MATCH(SMALL('ISV Inventory'!$AU$6:$AU$255,$A252),'ISV Inventory'!$AU$6:$AU$255,0)),""))</f>
        <v/>
      </c>
      <c r="J252" s="13" t="str">
        <f aca="false">IF($A252="","",IFERROR(INDEX('ISV Inventory'!$AG$6:$AG$255,MATCH(SMALL('ISV Inventory'!$AU$6:$AU$255,$A252),'ISV Inventory'!$AU$6:$AU$255,0))&amp;"",""))</f>
        <v/>
      </c>
      <c r="K252" s="13" t="str">
        <f aca="false">IF($A252="","",IFERROR(INDEX('ISV Inventory'!$AK$6:$AK$255,MATCH(SMALL('ISV Inventory'!$AU$6:$AU$255,$A252),'ISV Inventory'!$AU$6:$AU$255,0))&amp;"",""))</f>
        <v/>
      </c>
      <c r="L252" s="13" t="str">
        <f aca="false">IF($A252="","",IFERROR(INDEX('ISV Inventory'!$AR$6:$AR$255,MATCH(SMALL('ISV Inventory'!$AU$6:$AU$255,$A252),'ISV Inventory'!$AU$6:$AU$255,0))&amp;"",""))</f>
        <v/>
      </c>
      <c r="M252" s="13" t="str">
        <f aca="false">IF($A252="","",IFERROR(INDEX('ISV Inventory'!$AS$6:$AS$255,MATCH(SMALL('ISV Inventory'!$AU$6:$AU$255,$A252),'ISV Inventory'!$AU$6:$AU$255,0))&amp;"",""))</f>
        <v/>
      </c>
    </row>
    <row r="253" customFormat="false" ht="15" hidden="false" customHeight="false" outlineLevel="0" collapsed="false">
      <c r="A253" s="13" t="str">
        <f aca="false">IF(COUNT('ISV Inventory'!$AU$6:$AU$255)&lt;249,"",249)</f>
        <v/>
      </c>
      <c r="B253" s="47" t="str">
        <f aca="false">IF($A253="","",IFERROR(INDEX('ISV Inventory'!$V$6:$V$255,MATCH(SMALL('ISV Inventory'!$AU$6:$AU$255,$A253),'ISV Inventory'!$AU$6:$AU$255,0)),""))</f>
        <v/>
      </c>
      <c r="C253" s="48" t="str">
        <f aca="false">IF($A253="","",IFERROR(INDEX('ISV Inventory'!$AA$6:$AA$255,MATCH(SMALL('ISV Inventory'!$AU$6:$AU$255,$A253),'ISV Inventory'!$AU$6:$AU$255,0)),""))</f>
        <v/>
      </c>
      <c r="D253" s="13" t="str">
        <f aca="false">IF($A253="","",IFERROR(INDEX('ISV Inventory'!$AB$6:$AB$255,MATCH(SMALL('ISV Inventory'!$AU$6:$AU$255,$A253),'ISV Inventory'!$AU$6:$AU$255,0))&amp;"",""))</f>
        <v/>
      </c>
      <c r="E253" s="13" t="str">
        <f aca="false">IF($A253="","",IFERROR(INDEX('ISV Inventory'!$B$6:$B$255,MATCH(SMALL('ISV Inventory'!$AU$6:$AU$255,$A253),'ISV Inventory'!$AU$6:$AU$255,0))&amp;"",""))</f>
        <v/>
      </c>
      <c r="F253" s="13" t="str">
        <f aca="false">IF($A253="","",IFERROR(INDEX('ISV Inventory'!$F$6:$F$255,MATCH(SMALL('ISV Inventory'!$AU$6:$AU$255,$A253),'ISV Inventory'!$AU$6:$AU$255,0))&amp;"",""))</f>
        <v/>
      </c>
      <c r="G253" s="49" t="str">
        <f aca="false">IF($A253="","",IFERROR(INDEX('ISV Inventory'!$R$6:$R$255,MATCH(SMALL('ISV Inventory'!$AU$6:$AU$255,$A253),'ISV Inventory'!$AU$6:$AU$255,0)),""))</f>
        <v/>
      </c>
      <c r="H253" s="13" t="str">
        <f aca="false">IF($A253="","",IFERROR(INDEX('ISV Inventory'!$X$6:$X$255,MATCH(SMALL('ISV Inventory'!$AU$6:$AU$255,$A253),'ISV Inventory'!$AU$6:$AU$255,0))&amp;"",""))</f>
        <v/>
      </c>
      <c r="I253" s="47" t="str">
        <f aca="false">IF($A253="","",IFERROR(INDEX('ISV Inventory'!$Z$6:$Z$255,MATCH(SMALL('ISV Inventory'!$AU$6:$AU$255,$A253),'ISV Inventory'!$AU$6:$AU$255,0)),""))</f>
        <v/>
      </c>
      <c r="J253" s="13" t="str">
        <f aca="false">IF($A253="","",IFERROR(INDEX('ISV Inventory'!$AG$6:$AG$255,MATCH(SMALL('ISV Inventory'!$AU$6:$AU$255,$A253),'ISV Inventory'!$AU$6:$AU$255,0))&amp;"",""))</f>
        <v/>
      </c>
      <c r="K253" s="13" t="str">
        <f aca="false">IF($A253="","",IFERROR(INDEX('ISV Inventory'!$AK$6:$AK$255,MATCH(SMALL('ISV Inventory'!$AU$6:$AU$255,$A253),'ISV Inventory'!$AU$6:$AU$255,0))&amp;"",""))</f>
        <v/>
      </c>
      <c r="L253" s="13" t="str">
        <f aca="false">IF($A253="","",IFERROR(INDEX('ISV Inventory'!$AR$6:$AR$255,MATCH(SMALL('ISV Inventory'!$AU$6:$AU$255,$A253),'ISV Inventory'!$AU$6:$AU$255,0))&amp;"",""))</f>
        <v/>
      </c>
      <c r="M253" s="13" t="str">
        <f aca="false">IF($A253="","",IFERROR(INDEX('ISV Inventory'!$AS$6:$AS$255,MATCH(SMALL('ISV Inventory'!$AU$6:$AU$255,$A253),'ISV Inventory'!$AU$6:$AU$255,0))&amp;"",""))</f>
        <v/>
      </c>
    </row>
    <row r="254" customFormat="false" ht="15" hidden="false" customHeight="false" outlineLevel="0" collapsed="false">
      <c r="A254" s="13" t="str">
        <f aca="false">IF(COUNT('ISV Inventory'!$AU$6:$AU$255)&lt;250,"",250)</f>
        <v/>
      </c>
      <c r="B254" s="47" t="str">
        <f aca="false">IF($A254="","",IFERROR(INDEX('ISV Inventory'!$V$6:$V$255,MATCH(SMALL('ISV Inventory'!$AU$6:$AU$255,$A254),'ISV Inventory'!$AU$6:$AU$255,0)),""))</f>
        <v/>
      </c>
      <c r="C254" s="48" t="str">
        <f aca="false">IF($A254="","",IFERROR(INDEX('ISV Inventory'!$AA$6:$AA$255,MATCH(SMALL('ISV Inventory'!$AU$6:$AU$255,$A254),'ISV Inventory'!$AU$6:$AU$255,0)),""))</f>
        <v/>
      </c>
      <c r="D254" s="13" t="str">
        <f aca="false">IF($A254="","",IFERROR(INDEX('ISV Inventory'!$AB$6:$AB$255,MATCH(SMALL('ISV Inventory'!$AU$6:$AU$255,$A254),'ISV Inventory'!$AU$6:$AU$255,0))&amp;"",""))</f>
        <v/>
      </c>
      <c r="E254" s="13" t="str">
        <f aca="false">IF($A254="","",IFERROR(INDEX('ISV Inventory'!$B$6:$B$255,MATCH(SMALL('ISV Inventory'!$AU$6:$AU$255,$A254),'ISV Inventory'!$AU$6:$AU$255,0))&amp;"",""))</f>
        <v/>
      </c>
      <c r="F254" s="13" t="str">
        <f aca="false">IF($A254="","",IFERROR(INDEX('ISV Inventory'!$F$6:$F$255,MATCH(SMALL('ISV Inventory'!$AU$6:$AU$255,$A254),'ISV Inventory'!$AU$6:$AU$255,0))&amp;"",""))</f>
        <v/>
      </c>
      <c r="G254" s="49" t="str">
        <f aca="false">IF($A254="","",IFERROR(INDEX('ISV Inventory'!$R$6:$R$255,MATCH(SMALL('ISV Inventory'!$AU$6:$AU$255,$A254),'ISV Inventory'!$AU$6:$AU$255,0)),""))</f>
        <v/>
      </c>
      <c r="H254" s="13" t="str">
        <f aca="false">IF($A254="","",IFERROR(INDEX('ISV Inventory'!$X$6:$X$255,MATCH(SMALL('ISV Inventory'!$AU$6:$AU$255,$A254),'ISV Inventory'!$AU$6:$AU$255,0))&amp;"",""))</f>
        <v/>
      </c>
      <c r="I254" s="47" t="str">
        <f aca="false">IF($A254="","",IFERROR(INDEX('ISV Inventory'!$Z$6:$Z$255,MATCH(SMALL('ISV Inventory'!$AU$6:$AU$255,$A254),'ISV Inventory'!$AU$6:$AU$255,0)),""))</f>
        <v/>
      </c>
      <c r="J254" s="13" t="str">
        <f aca="false">IF($A254="","",IFERROR(INDEX('ISV Inventory'!$AG$6:$AG$255,MATCH(SMALL('ISV Inventory'!$AU$6:$AU$255,$A254),'ISV Inventory'!$AU$6:$AU$255,0))&amp;"",""))</f>
        <v/>
      </c>
      <c r="K254" s="13" t="str">
        <f aca="false">IF($A254="","",IFERROR(INDEX('ISV Inventory'!$AK$6:$AK$255,MATCH(SMALL('ISV Inventory'!$AU$6:$AU$255,$A254),'ISV Inventory'!$AU$6:$AU$255,0))&amp;"",""))</f>
        <v/>
      </c>
      <c r="L254" s="13" t="str">
        <f aca="false">IF($A254="","",IFERROR(INDEX('ISV Inventory'!$AR$6:$AR$255,MATCH(SMALL('ISV Inventory'!$AU$6:$AU$255,$A254),'ISV Inventory'!$AU$6:$AU$255,0))&amp;"",""))</f>
        <v/>
      </c>
      <c r="M254" s="13" t="str">
        <f aca="false">IF($A254="","",IFERROR(INDEX('ISV Inventory'!$AS$6:$AS$255,MATCH(SMALL('ISV Inventory'!$AU$6:$AU$255,$A254),'ISV Inventory'!$AU$6:$AU$255,0))&amp;"",""))</f>
        <v/>
      </c>
    </row>
  </sheetData>
  <conditionalFormatting sqref="C5:C254">
    <cfRule type="expression" priority="2" aboveAverage="0" equalAverage="0" bottom="0" percent="0" rank="0" text="" dxfId="13">
      <formula>AND(ISNUMBER(C5),C5&lt;0)</formula>
    </cfRule>
    <cfRule type="expression" priority="3" aboveAverage="0" equalAverage="0" bottom="0" percent="0" rank="0" text="" dxfId="14">
      <formula>AND(ISNUMBER(C5),C5&lt;=90)</formula>
    </cfRule>
  </conditionalFormatting>
  <conditionalFormatting sqref="J5:J254">
    <cfRule type="expression" priority="4" aboveAverage="0" equalAverage="0" bottom="0" percent="0" rank="0" text="" dxfId="16">
      <formula>LEFT(J5,3)="Yes"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2C48"/>
    <pageSetUpPr fitToPage="false"/>
  </sheetPr>
  <dimension ref="B2:H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"/>
    <col collapsed="false" customWidth="true" hidden="false" outlineLevel="0" max="6" min="6" style="0" width="34"/>
    <col collapsed="false" customWidth="true" hidden="false" outlineLevel="0" max="7" min="7" style="0" width="14"/>
    <col collapsed="false" customWidth="true" hidden="false" outlineLevel="0" max="8" min="8" style="0" width="16"/>
  </cols>
  <sheetData>
    <row r="2" customFormat="false" ht="19.7" hidden="false" customHeight="false" outlineLevel="0" collapsed="false">
      <c r="B2" s="9" t="s">
        <v>158</v>
      </c>
    </row>
    <row r="3" customFormat="false" ht="15" hidden="false" customHeight="false" outlineLevel="0" collapsed="false">
      <c r="B3" s="10" t="str">
        <f aca="false">IF('Company Profile'!C6="","Calculated from ISV Inventory",'Company Profile'!C6&amp;" · calculated from ISV Inventory")</f>
        <v>Calculated from ISV Inventory</v>
      </c>
    </row>
    <row r="5" customFormat="false" ht="15" hidden="false" customHeight="false" outlineLevel="0" collapsed="false">
      <c r="B5" s="11" t="s">
        <v>159</v>
      </c>
      <c r="C5" s="50" t="s">
        <v>160</v>
      </c>
      <c r="D5" s="50" t="s">
        <v>101</v>
      </c>
      <c r="F5" s="11" t="s">
        <v>161</v>
      </c>
      <c r="G5" s="50" t="s">
        <v>160</v>
      </c>
      <c r="H5" s="50" t="s">
        <v>101</v>
      </c>
    </row>
    <row r="6" customFormat="false" ht="15" hidden="false" customHeight="false" outlineLevel="0" collapsed="false">
      <c r="B6" s="13" t="s">
        <v>162</v>
      </c>
      <c r="C6" s="48" t="n">
        <f aca="false">COUNTA('ISV Inventory'!$B$6:$B$255)</f>
        <v>1</v>
      </c>
      <c r="D6" s="49" t="n">
        <f aca="false">SUM('ISV Inventory'!$R$6:$R$255)</f>
        <v>58500</v>
      </c>
      <c r="F6" s="13" t="s">
        <v>163</v>
      </c>
      <c r="G6" s="48" t="n">
        <f aca="false">COUNTIF('ISV Inventory'!$AG$6:$AG$255,"Yes – actively evaluating")</f>
        <v>0</v>
      </c>
      <c r="H6" s="49" t="n">
        <f aca="false">SUMIFS('ISV Inventory'!$R$6:$R$255,'ISV Inventory'!$AG$6:$AG$255,"Yes – actively evaluating")</f>
        <v>0</v>
      </c>
    </row>
    <row r="7" customFormat="false" ht="15" hidden="false" customHeight="false" outlineLevel="0" collapsed="false">
      <c r="B7" s="13" t="s">
        <v>164</v>
      </c>
      <c r="C7" s="48" t="n">
        <f aca="false">COUNTIFS('ISV Inventory'!$AA$6:$AA$255,"&lt;0")</f>
        <v>0</v>
      </c>
      <c r="D7" s="49" t="n">
        <f aca="false">SUMIFS('ISV Inventory'!$R$6:$R$255,'ISV Inventory'!$AA$6:$AA$255,"&lt;0")</f>
        <v>0</v>
      </c>
      <c r="F7" s="13" t="s">
        <v>165</v>
      </c>
      <c r="G7" s="48" t="n">
        <f aca="false">COUNTIF('ISV Inventory'!$AG$6:$AG$255,"Yes – open at renewal")</f>
        <v>0</v>
      </c>
      <c r="H7" s="49" t="n">
        <f aca="false">SUMIFS('ISV Inventory'!$R$6:$R$255,'ISV Inventory'!$AG$6:$AG$255,"Yes – open at renewal")</f>
        <v>0</v>
      </c>
    </row>
    <row r="8" customFormat="false" ht="15" hidden="false" customHeight="false" outlineLevel="0" collapsed="false">
      <c r="B8" s="13" t="s">
        <v>166</v>
      </c>
      <c r="C8" s="48" t="n">
        <f aca="false">COUNTIFS('ISV Inventory'!$AA$6:$AA$255,"&gt;=0",'ISV Inventory'!$AA$6:$AA$255,"&lt;=90")</f>
        <v>1</v>
      </c>
      <c r="D8" s="49" t="n">
        <f aca="false">SUMIFS('ISV Inventory'!$R$6:$R$255,'ISV Inventory'!$AA$6:$AA$255,"&gt;=0",'ISV Inventory'!$AA$6:$AA$255,"&lt;=90")</f>
        <v>58500</v>
      </c>
      <c r="F8" s="13" t="s">
        <v>146</v>
      </c>
      <c r="G8" s="48" t="n">
        <f aca="false">COUNTIF('ISV Inventory'!$AG$6:$AG$255,"Maybe – depends on price")</f>
        <v>1</v>
      </c>
      <c r="H8" s="49" t="n">
        <f aca="false">SUMIFS('ISV Inventory'!$R$6:$R$255,'ISV Inventory'!$AG$6:$AG$255,"Maybe – depends on price")</f>
        <v>58500</v>
      </c>
    </row>
    <row r="9" customFormat="false" ht="15" hidden="false" customHeight="false" outlineLevel="0" collapsed="false">
      <c r="B9" s="13" t="s">
        <v>167</v>
      </c>
      <c r="C9" s="48" t="n">
        <f aca="false">COUNTIFS('ISV Inventory'!$AA$6:$AA$255,"&gt;90",'ISV Inventory'!$AA$6:$AA$255,"&lt;=180")</f>
        <v>0</v>
      </c>
      <c r="D9" s="49" t="n">
        <f aca="false">SUMIFS('ISV Inventory'!$R$6:$R$255,'ISV Inventory'!$AA$6:$AA$255,"&gt;90",'ISV Inventory'!$AA$6:$AA$255,"&lt;=180")</f>
        <v>0</v>
      </c>
      <c r="F9" s="13" t="s">
        <v>168</v>
      </c>
      <c r="G9" s="48" t="n">
        <f aca="false">COUNTIF('ISV Inventory'!$AG$6:$AG$255,"No – committed")</f>
        <v>0</v>
      </c>
      <c r="H9" s="49" t="n">
        <f aca="false">SUMIFS('ISV Inventory'!$R$6:$R$255,'ISV Inventory'!$AG$6:$AG$255,"No – committed")</f>
        <v>0</v>
      </c>
    </row>
    <row r="10" customFormat="false" ht="15" hidden="false" customHeight="false" outlineLevel="0" collapsed="false">
      <c r="B10" s="13" t="s">
        <v>169</v>
      </c>
      <c r="C10" s="48" t="n">
        <f aca="false">COUNTIFS('ISV Inventory'!$AA$6:$AA$255,"&gt;180",'ISV Inventory'!$AA$6:$AA$255,"&lt;=365")</f>
        <v>0</v>
      </c>
      <c r="D10" s="49" t="n">
        <f aca="false">SUMIFS('ISV Inventory'!$R$6:$R$255,'ISV Inventory'!$AA$6:$AA$255,"&gt;180",'ISV Inventory'!$AA$6:$AA$255,"&lt;=365")</f>
        <v>0</v>
      </c>
      <c r="F10" s="13" t="s">
        <v>170</v>
      </c>
      <c r="G10" s="48" t="n">
        <f aca="false">COUNTIF('ISV Inventory'!$AG$6:$AG$255,"No – contractually locked in")</f>
        <v>0</v>
      </c>
      <c r="H10" s="49" t="n">
        <f aca="false">SUMIFS('ISV Inventory'!$R$6:$R$255,'ISV Inventory'!$AG$6:$AG$255,"No – contractually locked in")</f>
        <v>0</v>
      </c>
    </row>
    <row r="11" customFormat="false" ht="15" hidden="false" customHeight="false" outlineLevel="0" collapsed="false">
      <c r="B11" s="13" t="s">
        <v>171</v>
      </c>
      <c r="C11" s="48" t="n">
        <f aca="true">COUNTIFS('ISV Inventory'!$X$6:$X$255,"Yes",'ISV Inventory'!$Z$6:$Z$255,"&gt;="&amp;TODAY(),'ISV Inventory'!$Z$6:$Z$255,"&lt;="&amp;(TODAY()+45))</f>
        <v>1</v>
      </c>
      <c r="D11" s="49" t="n">
        <f aca="true">SUMIFS('ISV Inventory'!$R$6:$R$255,'ISV Inventory'!$X$6:$X$255,"Yes",'ISV Inventory'!$Z$6:$Z$255,"&gt;="&amp;TODAY(),'ISV Inventory'!$Z$6:$Z$255,"&lt;="&amp;(TODAY()+45))</f>
        <v>58500</v>
      </c>
      <c r="F11" s="13" t="s">
        <v>172</v>
      </c>
      <c r="G11" s="48" t="n">
        <f aca="false">COUNTIF('ISV Inventory'!$AG$6:$AG$255,"Unknown")</f>
        <v>0</v>
      </c>
      <c r="H11" s="49" t="n">
        <f aca="false">SUMIFS('ISV Inventory'!$R$6:$R$255,'ISV Inventory'!$AG$6:$AG$255,"Unknown")</f>
        <v>0</v>
      </c>
    </row>
    <row r="12" customFormat="false" ht="15" hidden="false" customHeight="false" outlineLevel="0" collapsed="false">
      <c r="B12" s="13" t="s">
        <v>173</v>
      </c>
      <c r="C12" s="48" t="n">
        <f aca="false">COUNTIF('ISV Inventory'!$AO$6:$AO$255,"No*")</f>
        <v>0</v>
      </c>
      <c r="D12" s="49" t="n">
        <f aca="false">SUMIFS('ISV Inventory'!$R$6:$R$255,'ISV Inventory'!$AO$6:$AO$255,"No*")</f>
        <v>0</v>
      </c>
      <c r="F12" s="13" t="s">
        <v>174</v>
      </c>
      <c r="G12" s="48" t="n">
        <f aca="false">SUMPRODUCT(('ISV Inventory'!$B$6:$B$255&lt;&gt;"")*('ISV Inventory'!$AG$6:$AG$255=""))</f>
        <v>0</v>
      </c>
      <c r="H12" s="49" t="n">
        <f aca="false">SUMPRODUCT(('ISV Inventory'!$B$6:$B$255&lt;&gt;"")*('ISV Inventory'!$AG$6:$AG$255=""),'ISV Inventory'!$R$6:$R$255)</f>
        <v>0</v>
      </c>
    </row>
    <row r="13" customFormat="false" ht="15" hidden="false" customHeight="false" outlineLevel="0" collapsed="false">
      <c r="B13" s="13" t="s">
        <v>175</v>
      </c>
      <c r="C13" s="48" t="n">
        <f aca="false">SUMPRODUCT(('ISV Inventory'!$B$6:$B$255&lt;&gt;"")*('ISV Inventory'!$V$6:$V$255=""))</f>
        <v>0</v>
      </c>
      <c r="D13" s="49"/>
    </row>
    <row r="15" customFormat="false" ht="15" hidden="false" customHeight="false" outlineLevel="0" collapsed="false">
      <c r="B15" s="11" t="s">
        <v>176</v>
      </c>
      <c r="C15" s="50" t="s">
        <v>160</v>
      </c>
      <c r="D15" s="50" t="s">
        <v>101</v>
      </c>
      <c r="F15" s="11" t="s">
        <v>120</v>
      </c>
      <c r="G15" s="50" t="s">
        <v>160</v>
      </c>
      <c r="H15" s="50" t="s">
        <v>101</v>
      </c>
    </row>
    <row r="16" customFormat="false" ht="15" hidden="false" customHeight="false" outlineLevel="0" collapsed="false">
      <c r="B16" s="13" t="str">
        <f aca="true">TEXT(EDATE(DATE(YEAR(TODAY()),MONTH(TODAY()),1),0),"mmm yyyy")</f>
        <v>Oct 2026</v>
      </c>
      <c r="C16" s="48" t="n">
        <f aca="true">COUNTIFS('ISV Inventory'!$V$6:$V$255,"&gt;="&amp;EDATE(DATE(YEAR(TODAY()),MONTH(TODAY()),1),0),'ISV Inventory'!$V$6:$V$255,"&lt;"&amp;EDATE(DATE(YEAR(TODAY()),MONTH(TODAY()),1),1))</f>
        <v>0</v>
      </c>
      <c r="D16" s="49" t="n">
        <f aca="true">SUMIFS('ISV Inventory'!$R$6:$R$255,'ISV Inventory'!$V$6:$V$255,"&gt;="&amp;EDATE(DATE(YEAR(TODAY()),MONTH(TODAY()),1),0),'ISV Inventory'!$V$6:$V$255,"&lt;"&amp;EDATE(DATE(YEAR(TODAY()),MONTH(TODAY()),1),1))</f>
        <v>0</v>
      </c>
      <c r="F16" s="13" t="s">
        <v>177</v>
      </c>
      <c r="G16" s="48" t="n">
        <f aca="false">COUNTIF('ISV Inventory'!$AK$6:$AK$255,"Renew as-is")</f>
        <v>0</v>
      </c>
      <c r="H16" s="49" t="n">
        <f aca="false">SUMIFS('ISV Inventory'!$R$6:$R$255,'ISV Inventory'!$AK$6:$AK$255,"Renew as-is")</f>
        <v>0</v>
      </c>
    </row>
    <row r="17" customFormat="false" ht="15" hidden="false" customHeight="false" outlineLevel="0" collapsed="false">
      <c r="B17" s="13" t="str">
        <f aca="true">TEXT(EDATE(DATE(YEAR(TODAY()),MONTH(TODAY()),1),1),"mmm yyyy")</f>
        <v>Nov 2026</v>
      </c>
      <c r="C17" s="48" t="n">
        <f aca="true">COUNTIFS('ISV Inventory'!$V$6:$V$255,"&gt;="&amp;EDATE(DATE(YEAR(TODAY()),MONTH(TODAY()),1),1),'ISV Inventory'!$V$6:$V$255,"&lt;"&amp;EDATE(DATE(YEAR(TODAY()),MONTH(TODAY()),1),2))</f>
        <v>1</v>
      </c>
      <c r="D17" s="49" t="n">
        <f aca="true">SUMIFS('ISV Inventory'!$R$6:$R$255,'ISV Inventory'!$V$6:$V$255,"&gt;="&amp;EDATE(DATE(YEAR(TODAY()),MONTH(TODAY()),1),1),'ISV Inventory'!$V$6:$V$255,"&lt;"&amp;EDATE(DATE(YEAR(TODAY()),MONTH(TODAY()),1),2))</f>
        <v>58500</v>
      </c>
      <c r="F17" s="13" t="s">
        <v>149</v>
      </c>
      <c r="G17" s="48" t="n">
        <f aca="false">COUNTIF('ISV Inventory'!$AK$6:$AK$255,"Renegotiate price")</f>
        <v>1</v>
      </c>
      <c r="H17" s="49" t="n">
        <f aca="false">SUMIFS('ISV Inventory'!$R$6:$R$255,'ISV Inventory'!$AK$6:$AK$255,"Renegotiate price")</f>
        <v>58500</v>
      </c>
    </row>
    <row r="18" customFormat="false" ht="15" hidden="false" customHeight="false" outlineLevel="0" collapsed="false">
      <c r="B18" s="13" t="str">
        <f aca="true">TEXT(EDATE(DATE(YEAR(TODAY()),MONTH(TODAY()),1),2),"mmm yyyy")</f>
        <v>Dec 2026</v>
      </c>
      <c r="C18" s="48" t="n">
        <f aca="true">COUNTIFS('ISV Inventory'!$V$6:$V$255,"&gt;="&amp;EDATE(DATE(YEAR(TODAY()),MONTH(TODAY()),1),2),'ISV Inventory'!$V$6:$V$255,"&lt;"&amp;EDATE(DATE(YEAR(TODAY()),MONTH(TODAY()),1),3))</f>
        <v>0</v>
      </c>
      <c r="D18" s="49" t="n">
        <f aca="true">SUMIFS('ISV Inventory'!$R$6:$R$255,'ISV Inventory'!$V$6:$V$255,"&gt;="&amp;EDATE(DATE(YEAR(TODAY()),MONTH(TODAY()),1),2),'ISV Inventory'!$V$6:$V$255,"&lt;"&amp;EDATE(DATE(YEAR(TODAY()),MONTH(TODAY()),1),3))</f>
        <v>0</v>
      </c>
      <c r="F18" s="13" t="s">
        <v>178</v>
      </c>
      <c r="G18" s="48" t="n">
        <f aca="false">COUNTIF('ISV Inventory'!$AK$6:$AK$255,"Right-size licenses")</f>
        <v>0</v>
      </c>
      <c r="H18" s="49" t="n">
        <f aca="false">SUMIFS('ISV Inventory'!$R$6:$R$255,'ISV Inventory'!$AK$6:$AK$255,"Right-size licenses")</f>
        <v>0</v>
      </c>
    </row>
    <row r="19" customFormat="false" ht="15" hidden="false" customHeight="false" outlineLevel="0" collapsed="false">
      <c r="B19" s="13" t="str">
        <f aca="true">TEXT(EDATE(DATE(YEAR(TODAY()),MONTH(TODAY()),1),3),"mmm yyyy")</f>
        <v>Jan 2027</v>
      </c>
      <c r="C19" s="48" t="n">
        <f aca="true">COUNTIFS('ISV Inventory'!$V$6:$V$255,"&gt;="&amp;EDATE(DATE(YEAR(TODAY()),MONTH(TODAY()),1),3),'ISV Inventory'!$V$6:$V$255,"&lt;"&amp;EDATE(DATE(YEAR(TODAY()),MONTH(TODAY()),1),4))</f>
        <v>0</v>
      </c>
      <c r="D19" s="49" t="n">
        <f aca="true">SUMIFS('ISV Inventory'!$R$6:$R$255,'ISV Inventory'!$V$6:$V$255,"&gt;="&amp;EDATE(DATE(YEAR(TODAY()),MONTH(TODAY()),1),3),'ISV Inventory'!$V$6:$V$255,"&lt;"&amp;EDATE(DATE(YEAR(TODAY()),MONTH(TODAY()),1),4))</f>
        <v>0</v>
      </c>
      <c r="F19" s="13" t="s">
        <v>179</v>
      </c>
      <c r="G19" s="48" t="n">
        <f aca="false">COUNTIF('ISV Inventory'!$AK$6:$AK$255,"Upgrade / expand")</f>
        <v>0</v>
      </c>
      <c r="H19" s="49" t="n">
        <f aca="false">SUMIFS('ISV Inventory'!$R$6:$R$255,'ISV Inventory'!$AK$6:$AK$255,"Upgrade / expand")</f>
        <v>0</v>
      </c>
    </row>
    <row r="20" customFormat="false" ht="15" hidden="false" customHeight="false" outlineLevel="0" collapsed="false">
      <c r="B20" s="13" t="str">
        <f aca="true">TEXT(EDATE(DATE(YEAR(TODAY()),MONTH(TODAY()),1),4),"mmm yyyy")</f>
        <v>Feb 2027</v>
      </c>
      <c r="C20" s="48" t="n">
        <f aca="true">COUNTIFS('ISV Inventory'!$V$6:$V$255,"&gt;="&amp;EDATE(DATE(YEAR(TODAY()),MONTH(TODAY()),1),4),'ISV Inventory'!$V$6:$V$255,"&lt;"&amp;EDATE(DATE(YEAR(TODAY()),MONTH(TODAY()),1),5))</f>
        <v>0</v>
      </c>
      <c r="D20" s="49" t="n">
        <f aca="true">SUMIFS('ISV Inventory'!$R$6:$R$255,'ISV Inventory'!$V$6:$V$255,"&gt;="&amp;EDATE(DATE(YEAR(TODAY()),MONTH(TODAY()),1),4),'ISV Inventory'!$V$6:$V$255,"&lt;"&amp;EDATE(DATE(YEAR(TODAY()),MONTH(TODAY()),1),5))</f>
        <v>0</v>
      </c>
      <c r="F20" s="13" t="s">
        <v>180</v>
      </c>
      <c r="G20" s="48" t="n">
        <f aca="false">COUNTIF('ISV Inventory'!$AK$6:$AK$255,"Consolidate onto another tool")</f>
        <v>0</v>
      </c>
      <c r="H20" s="49" t="n">
        <f aca="false">SUMIFS('ISV Inventory'!$R$6:$R$255,'ISV Inventory'!$AK$6:$AK$255,"Consolidate onto another tool")</f>
        <v>0</v>
      </c>
    </row>
    <row r="21" customFormat="false" ht="15" hidden="false" customHeight="false" outlineLevel="0" collapsed="false">
      <c r="B21" s="13" t="str">
        <f aca="true">TEXT(EDATE(DATE(YEAR(TODAY()),MONTH(TODAY()),1),5),"mmm yyyy")</f>
        <v>Mar 2027</v>
      </c>
      <c r="C21" s="48" t="n">
        <f aca="true">COUNTIFS('ISV Inventory'!$V$6:$V$255,"&gt;="&amp;EDATE(DATE(YEAR(TODAY()),MONTH(TODAY()),1),5),'ISV Inventory'!$V$6:$V$255,"&lt;"&amp;EDATE(DATE(YEAR(TODAY()),MONTH(TODAY()),1),6))</f>
        <v>0</v>
      </c>
      <c r="D21" s="49" t="n">
        <f aca="true">SUMIFS('ISV Inventory'!$R$6:$R$255,'ISV Inventory'!$V$6:$V$255,"&gt;="&amp;EDATE(DATE(YEAR(TODAY()),MONTH(TODAY()),1),5),'ISV Inventory'!$V$6:$V$255,"&lt;"&amp;EDATE(DATE(YEAR(TODAY()),MONTH(TODAY()),1),6))</f>
        <v>0</v>
      </c>
      <c r="F21" s="13" t="s">
        <v>181</v>
      </c>
      <c r="G21" s="48" t="n">
        <f aca="false">COUNTIF('ISV Inventory'!$AK$6:$AK$255,"Replace with alternative")</f>
        <v>0</v>
      </c>
      <c r="H21" s="49" t="n">
        <f aca="false">SUMIFS('ISV Inventory'!$R$6:$R$255,'ISV Inventory'!$AK$6:$AK$255,"Replace with alternative")</f>
        <v>0</v>
      </c>
    </row>
    <row r="22" customFormat="false" ht="15" hidden="false" customHeight="false" outlineLevel="0" collapsed="false">
      <c r="B22" s="13" t="str">
        <f aca="true">TEXT(EDATE(DATE(YEAR(TODAY()),MONTH(TODAY()),1),6),"mmm yyyy")</f>
        <v>Apr 2027</v>
      </c>
      <c r="C22" s="48" t="n">
        <f aca="true">COUNTIFS('ISV Inventory'!$V$6:$V$255,"&gt;="&amp;EDATE(DATE(YEAR(TODAY()),MONTH(TODAY()),1),6),'ISV Inventory'!$V$6:$V$255,"&lt;"&amp;EDATE(DATE(YEAR(TODAY()),MONTH(TODAY()),1),7))</f>
        <v>0</v>
      </c>
      <c r="D22" s="49" t="n">
        <f aca="true">SUMIFS('ISV Inventory'!$R$6:$R$255,'ISV Inventory'!$V$6:$V$255,"&gt;="&amp;EDATE(DATE(YEAR(TODAY()),MONTH(TODAY()),1),6),'ISV Inventory'!$V$6:$V$255,"&lt;"&amp;EDATE(DATE(YEAR(TODAY()),MONTH(TODAY()),1),7))</f>
        <v>0</v>
      </c>
      <c r="F22" s="13" t="s">
        <v>182</v>
      </c>
      <c r="G22" s="48" t="n">
        <f aca="false">COUNTIF('ISV Inventory'!$AK$6:$AK$255,"Retire")</f>
        <v>0</v>
      </c>
      <c r="H22" s="49" t="n">
        <f aca="false">SUMIFS('ISV Inventory'!$R$6:$R$255,'ISV Inventory'!$AK$6:$AK$255,"Retire")</f>
        <v>0</v>
      </c>
    </row>
    <row r="23" customFormat="false" ht="15" hidden="false" customHeight="false" outlineLevel="0" collapsed="false">
      <c r="B23" s="13" t="str">
        <f aca="true">TEXT(EDATE(DATE(YEAR(TODAY()),MONTH(TODAY()),1),7),"mmm yyyy")</f>
        <v>May 2027</v>
      </c>
      <c r="C23" s="48" t="n">
        <f aca="true">COUNTIFS('ISV Inventory'!$V$6:$V$255,"&gt;="&amp;EDATE(DATE(YEAR(TODAY()),MONTH(TODAY()),1),7),'ISV Inventory'!$V$6:$V$255,"&lt;"&amp;EDATE(DATE(YEAR(TODAY()),MONTH(TODAY()),1),8))</f>
        <v>0</v>
      </c>
      <c r="D23" s="49" t="n">
        <f aca="true">SUMIFS('ISV Inventory'!$R$6:$R$255,'ISV Inventory'!$V$6:$V$255,"&gt;="&amp;EDATE(DATE(YEAR(TODAY()),MONTH(TODAY()),1),7),'ISV Inventory'!$V$6:$V$255,"&lt;"&amp;EDATE(DATE(YEAR(TODAY()),MONTH(TODAY()),1),8))</f>
        <v>0</v>
      </c>
      <c r="F23" s="13" t="s">
        <v>183</v>
      </c>
      <c r="G23" s="48" t="n">
        <f aca="false">COUNTIF('ISV Inventory'!$AK$6:$AK$255,"Undecided")</f>
        <v>0</v>
      </c>
      <c r="H23" s="49" t="n">
        <f aca="false">SUMIFS('ISV Inventory'!$R$6:$R$255,'ISV Inventory'!$AK$6:$AK$255,"Undecided")</f>
        <v>0</v>
      </c>
    </row>
    <row r="24" customFormat="false" ht="15" hidden="false" customHeight="false" outlineLevel="0" collapsed="false">
      <c r="B24" s="13" t="str">
        <f aca="true">TEXT(EDATE(DATE(YEAR(TODAY()),MONTH(TODAY()),1),8),"mmm yyyy")</f>
        <v>Jun 2027</v>
      </c>
      <c r="C24" s="48" t="n">
        <f aca="true">COUNTIFS('ISV Inventory'!$V$6:$V$255,"&gt;="&amp;EDATE(DATE(YEAR(TODAY()),MONTH(TODAY()),1),8),'ISV Inventory'!$V$6:$V$255,"&lt;"&amp;EDATE(DATE(YEAR(TODAY()),MONTH(TODAY()),1),9))</f>
        <v>0</v>
      </c>
      <c r="D24" s="49" t="n">
        <f aca="true">SUMIFS('ISV Inventory'!$R$6:$R$255,'ISV Inventory'!$V$6:$V$255,"&gt;="&amp;EDATE(DATE(YEAR(TODAY()),MONTH(TODAY()),1),8),'ISV Inventory'!$V$6:$V$255,"&lt;"&amp;EDATE(DATE(YEAR(TODAY()),MONTH(TODAY()),1),9))</f>
        <v>0</v>
      </c>
    </row>
    <row r="25" customFormat="false" ht="15" hidden="false" customHeight="false" outlineLevel="0" collapsed="false">
      <c r="B25" s="13" t="str">
        <f aca="true">TEXT(EDATE(DATE(YEAR(TODAY()),MONTH(TODAY()),1),9),"mmm yyyy")</f>
        <v>Jul 2027</v>
      </c>
      <c r="C25" s="48" t="n">
        <f aca="true">COUNTIFS('ISV Inventory'!$V$6:$V$255,"&gt;="&amp;EDATE(DATE(YEAR(TODAY()),MONTH(TODAY()),1),9),'ISV Inventory'!$V$6:$V$255,"&lt;"&amp;EDATE(DATE(YEAR(TODAY()),MONTH(TODAY()),1),10))</f>
        <v>0</v>
      </c>
      <c r="D25" s="49" t="n">
        <f aca="true">SUMIFS('ISV Inventory'!$R$6:$R$255,'ISV Inventory'!$V$6:$V$255,"&gt;="&amp;EDATE(DATE(YEAR(TODAY()),MONTH(TODAY()),1),9),'ISV Inventory'!$V$6:$V$255,"&lt;"&amp;EDATE(DATE(YEAR(TODAY()),MONTH(TODAY()),1),10))</f>
        <v>0</v>
      </c>
    </row>
    <row r="26" customFormat="false" ht="15" hidden="false" customHeight="false" outlineLevel="0" collapsed="false">
      <c r="B26" s="13" t="str">
        <f aca="true">TEXT(EDATE(DATE(YEAR(TODAY()),MONTH(TODAY()),1),10),"mmm yyyy")</f>
        <v>Aug 2027</v>
      </c>
      <c r="C26" s="48" t="n">
        <f aca="true">COUNTIFS('ISV Inventory'!$V$6:$V$255,"&gt;="&amp;EDATE(DATE(YEAR(TODAY()),MONTH(TODAY()),1),10),'ISV Inventory'!$V$6:$V$255,"&lt;"&amp;EDATE(DATE(YEAR(TODAY()),MONTH(TODAY()),1),11))</f>
        <v>0</v>
      </c>
      <c r="D26" s="49" t="n">
        <f aca="true">SUMIFS('ISV Inventory'!$R$6:$R$255,'ISV Inventory'!$V$6:$V$255,"&gt;="&amp;EDATE(DATE(YEAR(TODAY()),MONTH(TODAY()),1),10),'ISV Inventory'!$V$6:$V$255,"&lt;"&amp;EDATE(DATE(YEAR(TODAY()),MONTH(TODAY()),1),11))</f>
        <v>0</v>
      </c>
    </row>
    <row r="27" customFormat="false" ht="15" hidden="false" customHeight="false" outlineLevel="0" collapsed="false">
      <c r="B27" s="13" t="str">
        <f aca="true">TEXT(EDATE(DATE(YEAR(TODAY()),MONTH(TODAY()),1),11),"mmm yyyy")</f>
        <v>Sep 2027</v>
      </c>
      <c r="C27" s="48" t="n">
        <f aca="true">COUNTIFS('ISV Inventory'!$V$6:$V$255,"&gt;="&amp;EDATE(DATE(YEAR(TODAY()),MONTH(TODAY()),1),11),'ISV Inventory'!$V$6:$V$255,"&lt;"&amp;EDATE(DATE(YEAR(TODAY()),MONTH(TODAY()),1),12))</f>
        <v>0</v>
      </c>
      <c r="D27" s="49" t="n">
        <f aca="true">SUMIFS('ISV Inventory'!$R$6:$R$255,'ISV Inventory'!$V$6:$V$255,"&gt;="&amp;EDATE(DATE(YEAR(TODAY()),MONTH(TODAY()),1),11),'ISV Inventory'!$V$6:$V$255,"&lt;"&amp;EDATE(DATE(YEAR(TODAY()),MONTH(TODAY()),1),12))</f>
        <v>0</v>
      </c>
    </row>
    <row r="29" customFormat="false" ht="15" hidden="false" customHeight="false" outlineLevel="0" collapsed="false">
      <c r="B29" s="11" t="s">
        <v>184</v>
      </c>
      <c r="C29" s="50" t="s">
        <v>160</v>
      </c>
      <c r="D29" s="50" t="s">
        <v>101</v>
      </c>
    </row>
    <row r="30" customFormat="false" ht="15" hidden="false" customHeight="false" outlineLevel="0" collapsed="false">
      <c r="B30" s="13" t="s">
        <v>185</v>
      </c>
      <c r="C30" s="48" t="n">
        <f aca="false">COUNTIF('ISV Inventory'!$AQ$6:$AQ$255,"AI / ML platform")</f>
        <v>0</v>
      </c>
      <c r="D30" s="49" t="n">
        <f aca="false">SUMIFS('ISV Inventory'!$R$6:$R$255,'ISV Inventory'!$AQ$6:$AQ$255,"AI / ML platform")</f>
        <v>0</v>
      </c>
    </row>
    <row r="31" customFormat="false" ht="15" hidden="false" customHeight="false" outlineLevel="0" collapsed="false">
      <c r="B31" s="13" t="s">
        <v>186</v>
      </c>
      <c r="C31" s="48" t="n">
        <f aca="false">COUNTIF('ISV Inventory'!$AQ$6:$AQ$255,"API platform")</f>
        <v>0</v>
      </c>
      <c r="D31" s="49" t="n">
        <f aca="false">SUMIFS('ISV Inventory'!$R$6:$R$255,'ISV Inventory'!$AQ$6:$AQ$255,"API platform")</f>
        <v>0</v>
      </c>
    </row>
    <row r="32" customFormat="false" ht="15" hidden="false" customHeight="false" outlineLevel="0" collapsed="false">
      <c r="B32" s="13" t="s">
        <v>187</v>
      </c>
      <c r="C32" s="48" t="n">
        <f aca="false">COUNTIF('ISV Inventory'!$AQ$6:$AQ$255,"Analytics automation")</f>
        <v>0</v>
      </c>
      <c r="D32" s="49" t="n">
        <f aca="false">SUMIFS('ISV Inventory'!$R$6:$R$255,'ISV Inventory'!$AQ$6:$AQ$255,"Analytics automation")</f>
        <v>0</v>
      </c>
    </row>
    <row r="33" customFormat="false" ht="15" hidden="false" customHeight="false" outlineLevel="0" collapsed="false">
      <c r="B33" s="13" t="s">
        <v>188</v>
      </c>
      <c r="C33" s="48" t="n">
        <f aca="false">COUNTIF('ISV Inventory'!$AQ$6:$AQ$255,"Application security")</f>
        <v>0</v>
      </c>
      <c r="D33" s="49" t="n">
        <f aca="false">SUMIFS('ISV Inventory'!$R$6:$R$255,'ISV Inventory'!$AQ$6:$AQ$255,"Application security")</f>
        <v>0</v>
      </c>
    </row>
    <row r="34" customFormat="false" ht="15" hidden="false" customHeight="false" outlineLevel="0" collapsed="false">
      <c r="B34" s="13" t="s">
        <v>189</v>
      </c>
      <c r="C34" s="48" t="n">
        <f aca="false">COUNTIF('ISV Inventory'!$AQ$6:$AQ$255,"Artifact management")</f>
        <v>0</v>
      </c>
      <c r="D34" s="49" t="n">
        <f aca="false">SUMIFS('ISV Inventory'!$R$6:$R$255,'ISV Inventory'!$AQ$6:$AQ$255,"Artifact management")</f>
        <v>0</v>
      </c>
    </row>
    <row r="35" customFormat="false" ht="15" hidden="false" customHeight="false" outlineLevel="0" collapsed="false">
      <c r="B35" s="13" t="s">
        <v>190</v>
      </c>
      <c r="C35" s="48" t="n">
        <f aca="false">COUNTIF('ISV Inventory'!$AQ$6:$AQ$255,"Backup")</f>
        <v>0</v>
      </c>
      <c r="D35" s="49" t="n">
        <f aca="false">SUMIFS('ISV Inventory'!$R$6:$R$255,'ISV Inventory'!$AQ$6:$AQ$255,"Backup")</f>
        <v>0</v>
      </c>
    </row>
    <row r="36" customFormat="false" ht="15" hidden="false" customHeight="false" outlineLevel="0" collapsed="false">
      <c r="B36" s="13" t="s">
        <v>191</v>
      </c>
      <c r="C36" s="48" t="n">
        <f aca="false">COUNTIF('ISV Inventory'!$AQ$6:$AQ$255,"Business intelligence")</f>
        <v>0</v>
      </c>
      <c r="D36" s="49" t="n">
        <f aca="false">SUMIFS('ISV Inventory'!$R$6:$R$255,'ISV Inventory'!$AQ$6:$AQ$255,"Business intelligence")</f>
        <v>0</v>
      </c>
    </row>
    <row r="37" customFormat="false" ht="15" hidden="false" customHeight="false" outlineLevel="0" collapsed="false">
      <c r="B37" s="13" t="s">
        <v>192</v>
      </c>
      <c r="C37" s="48" t="n">
        <f aca="false">COUNTIF('ISV Inventory'!$AQ$6:$AQ$255,"CI/CD")</f>
        <v>0</v>
      </c>
      <c r="D37" s="49" t="n">
        <f aca="false">SUMIFS('ISV Inventory'!$R$6:$R$255,'ISV Inventory'!$AQ$6:$AQ$255,"CI/CD")</f>
        <v>0</v>
      </c>
    </row>
    <row r="38" customFormat="false" ht="15" hidden="false" customHeight="false" outlineLevel="0" collapsed="false">
      <c r="B38" s="13" t="s">
        <v>193</v>
      </c>
      <c r="C38" s="48" t="n">
        <f aca="false">COUNTIF('ISV Inventory'!$AQ$6:$AQ$255,"CRM")</f>
        <v>0</v>
      </c>
      <c r="D38" s="49" t="n">
        <f aca="false">SUMIFS('ISV Inventory'!$R$6:$R$255,'ISV Inventory'!$AQ$6:$AQ$255,"CRM")</f>
        <v>0</v>
      </c>
    </row>
    <row r="39" customFormat="false" ht="15" hidden="false" customHeight="false" outlineLevel="0" collapsed="false">
      <c r="B39" s="13" t="s">
        <v>194</v>
      </c>
      <c r="C39" s="48" t="n">
        <f aca="false">COUNTIF('ISV Inventory'!$AQ$6:$AQ$255,"Cloud security")</f>
        <v>0</v>
      </c>
      <c r="D39" s="49" t="n">
        <f aca="false">SUMIFS('ISV Inventory'!$R$6:$R$255,'ISV Inventory'!$AQ$6:$AQ$255,"Cloud security")</f>
        <v>0</v>
      </c>
    </row>
    <row r="40" customFormat="false" ht="15" hidden="false" customHeight="false" outlineLevel="0" collapsed="false">
      <c r="B40" s="13" t="s">
        <v>195</v>
      </c>
      <c r="C40" s="48" t="n">
        <f aca="false">COUNTIF('ISV Inventory'!$AQ$6:$AQ$255,"Communications APIs")</f>
        <v>0</v>
      </c>
      <c r="D40" s="49" t="n">
        <f aca="false">SUMIFS('ISV Inventory'!$R$6:$R$255,'ISV Inventory'!$AQ$6:$AQ$255,"Communications APIs")</f>
        <v>0</v>
      </c>
    </row>
    <row r="41" customFormat="false" ht="15" hidden="false" customHeight="false" outlineLevel="0" collapsed="false">
      <c r="B41" s="13" t="s">
        <v>196</v>
      </c>
      <c r="C41" s="48" t="n">
        <f aca="false">COUNTIF('ISV Inventory'!$AQ$6:$AQ$255,"Compliance automation")</f>
        <v>0</v>
      </c>
      <c r="D41" s="49" t="n">
        <f aca="false">SUMIFS('ISV Inventory'!$R$6:$R$255,'ISV Inventory'!$AQ$6:$AQ$255,"Compliance automation")</f>
        <v>0</v>
      </c>
    </row>
    <row r="42" customFormat="false" ht="15" hidden="false" customHeight="false" outlineLevel="0" collapsed="false">
      <c r="B42" s="13" t="s">
        <v>197</v>
      </c>
      <c r="C42" s="48" t="n">
        <f aca="false">COUNTIF('ISV Inventory'!$AQ$6:$AQ$255,"Contact center")</f>
        <v>0</v>
      </c>
      <c r="D42" s="49" t="n">
        <f aca="false">SUMIFS('ISV Inventory'!$R$6:$R$255,'ISV Inventory'!$AQ$6:$AQ$255,"Contact center")</f>
        <v>0</v>
      </c>
    </row>
    <row r="43" customFormat="false" ht="15" hidden="false" customHeight="false" outlineLevel="0" collapsed="false">
      <c r="B43" s="13" t="s">
        <v>198</v>
      </c>
      <c r="C43" s="48" t="n">
        <f aca="false">COUNTIF('ISV Inventory'!$AQ$6:$AQ$255,"Contract management")</f>
        <v>0</v>
      </c>
      <c r="D43" s="49" t="n">
        <f aca="false">SUMIFS('ISV Inventory'!$R$6:$R$255,'ISV Inventory'!$AQ$6:$AQ$255,"Contract management")</f>
        <v>0</v>
      </c>
    </row>
    <row r="44" customFormat="false" ht="15" hidden="false" customHeight="false" outlineLevel="0" collapsed="false">
      <c r="B44" s="13" t="s">
        <v>199</v>
      </c>
      <c r="C44" s="48" t="n">
        <f aca="false">COUNTIF('ISV Inventory'!$AQ$6:$AQ$255,"Customer service")</f>
        <v>0</v>
      </c>
      <c r="D44" s="49" t="n">
        <f aca="false">SUMIFS('ISV Inventory'!$R$6:$R$255,'ISV Inventory'!$AQ$6:$AQ$255,"Customer service")</f>
        <v>0</v>
      </c>
    </row>
    <row r="45" customFormat="false" ht="15" hidden="false" customHeight="false" outlineLevel="0" collapsed="false">
      <c r="B45" s="13" t="s">
        <v>200</v>
      </c>
      <c r="C45" s="48" t="n">
        <f aca="false">COUNTIF('ISV Inventory'!$AQ$6:$AQ$255,"Data integration")</f>
        <v>0</v>
      </c>
      <c r="D45" s="49" t="n">
        <f aca="false">SUMIFS('ISV Inventory'!$R$6:$R$255,'ISV Inventory'!$AQ$6:$AQ$255,"Data integration")</f>
        <v>0</v>
      </c>
    </row>
    <row r="46" customFormat="false" ht="15" hidden="false" customHeight="false" outlineLevel="0" collapsed="false">
      <c r="B46" s="13" t="s">
        <v>201</v>
      </c>
      <c r="C46" s="48" t="n">
        <f aca="false">COUNTIF('ISV Inventory'!$AQ$6:$AQ$255,"Data platform")</f>
        <v>0</v>
      </c>
      <c r="D46" s="49" t="n">
        <f aca="false">SUMIFS('ISV Inventory'!$R$6:$R$255,'ISV Inventory'!$AQ$6:$AQ$255,"Data platform")</f>
        <v>0</v>
      </c>
    </row>
    <row r="47" customFormat="false" ht="15" hidden="false" customHeight="false" outlineLevel="0" collapsed="false">
      <c r="B47" s="13" t="s">
        <v>202</v>
      </c>
      <c r="C47" s="48" t="n">
        <f aca="false">COUNTIF('ISV Inventory'!$AQ$6:$AQ$255,"Data streaming")</f>
        <v>0</v>
      </c>
      <c r="D47" s="49" t="n">
        <f aca="false">SUMIFS('ISV Inventory'!$R$6:$R$255,'ISV Inventory'!$AQ$6:$AQ$255,"Data streaming")</f>
        <v>0</v>
      </c>
    </row>
    <row r="48" customFormat="false" ht="15" hidden="false" customHeight="false" outlineLevel="0" collapsed="false">
      <c r="B48" s="13" t="s">
        <v>203</v>
      </c>
      <c r="C48" s="48" t="n">
        <f aca="false">COUNTIF('ISV Inventory'!$AQ$6:$AQ$255,"Data transformation")</f>
        <v>0</v>
      </c>
      <c r="D48" s="49" t="n">
        <f aca="false">SUMIFS('ISV Inventory'!$R$6:$R$255,'ISV Inventory'!$AQ$6:$AQ$255,"Data transformation")</f>
        <v>0</v>
      </c>
    </row>
    <row r="49" customFormat="false" ht="15" hidden="false" customHeight="false" outlineLevel="0" collapsed="false">
      <c r="B49" s="13" t="s">
        <v>204</v>
      </c>
      <c r="C49" s="48" t="n">
        <f aca="false">COUNTIF('ISV Inventory'!$AQ$6:$AQ$255,"Database")</f>
        <v>0</v>
      </c>
      <c r="D49" s="49" t="n">
        <f aca="false">SUMIFS('ISV Inventory'!$R$6:$R$255,'ISV Inventory'!$AQ$6:$AQ$255,"Database")</f>
        <v>0</v>
      </c>
    </row>
    <row r="50" customFormat="false" ht="15" hidden="false" customHeight="false" outlineLevel="0" collapsed="false">
      <c r="B50" s="13" t="s">
        <v>205</v>
      </c>
      <c r="C50" s="48" t="n">
        <f aca="false">COUNTIF('ISV Inventory'!$AQ$6:$AQ$255,"Design")</f>
        <v>0</v>
      </c>
      <c r="D50" s="49" t="n">
        <f aca="false">SUMIFS('ISV Inventory'!$R$6:$R$255,'ISV Inventory'!$AQ$6:$AQ$255,"Design")</f>
        <v>0</v>
      </c>
    </row>
    <row r="51" customFormat="false" ht="15" hidden="false" customHeight="false" outlineLevel="0" collapsed="false">
      <c r="B51" s="13" t="s">
        <v>206</v>
      </c>
      <c r="C51" s="48" t="n">
        <f aca="false">COUNTIF('ISV Inventory'!$AQ$6:$AQ$255,"Device management")</f>
        <v>0</v>
      </c>
      <c r="D51" s="49" t="n">
        <f aca="false">SUMIFS('ISV Inventory'!$R$6:$R$255,'ISV Inventory'!$AQ$6:$AQ$255,"Device management")</f>
        <v>0</v>
      </c>
    </row>
    <row r="52" customFormat="false" ht="15" hidden="false" customHeight="false" outlineLevel="0" collapsed="false">
      <c r="B52" s="13" t="s">
        <v>207</v>
      </c>
      <c r="C52" s="48" t="n">
        <f aca="false">COUNTIF('ISV Inventory'!$AQ$6:$AQ$255,"E-signature")</f>
        <v>0</v>
      </c>
      <c r="D52" s="49" t="n">
        <f aca="false">SUMIFS('ISV Inventory'!$R$6:$R$255,'ISV Inventory'!$AQ$6:$AQ$255,"E-signature")</f>
        <v>0</v>
      </c>
    </row>
    <row r="53" customFormat="false" ht="15" hidden="false" customHeight="false" outlineLevel="0" collapsed="false">
      <c r="B53" s="13" t="s">
        <v>208</v>
      </c>
      <c r="C53" s="48" t="n">
        <f aca="false">COUNTIF('ISV Inventory'!$AQ$6:$AQ$255,"ERP")</f>
        <v>0</v>
      </c>
      <c r="D53" s="49" t="n">
        <f aca="false">SUMIFS('ISV Inventory'!$R$6:$R$255,'ISV Inventory'!$AQ$6:$AQ$255,"ERP")</f>
        <v>0</v>
      </c>
    </row>
    <row r="54" customFormat="false" ht="15" hidden="false" customHeight="false" outlineLevel="0" collapsed="false">
      <c r="B54" s="13" t="s">
        <v>209</v>
      </c>
      <c r="C54" s="48" t="n">
        <f aca="false">COUNTIF('ISV Inventory'!$AQ$6:$AQ$255,"Email security")</f>
        <v>0</v>
      </c>
      <c r="D54" s="49" t="n">
        <f aca="false">SUMIFS('ISV Inventory'!$R$6:$R$255,'ISV Inventory'!$AQ$6:$AQ$255,"Email security")</f>
        <v>0</v>
      </c>
    </row>
    <row r="55" customFormat="false" ht="15" hidden="false" customHeight="false" outlineLevel="0" collapsed="false">
      <c r="B55" s="13" t="s">
        <v>210</v>
      </c>
      <c r="C55" s="48" t="n">
        <f aca="false">COUNTIF('ISV Inventory'!$AQ$6:$AQ$255,"Endpoint security")</f>
        <v>0</v>
      </c>
      <c r="D55" s="49" t="n">
        <f aca="false">SUMIFS('ISV Inventory'!$R$6:$R$255,'ISV Inventory'!$AQ$6:$AQ$255,"Endpoint security")</f>
        <v>0</v>
      </c>
    </row>
    <row r="56" customFormat="false" ht="15" hidden="false" customHeight="false" outlineLevel="0" collapsed="false">
      <c r="B56" s="13" t="s">
        <v>211</v>
      </c>
      <c r="C56" s="48" t="n">
        <f aca="false">COUNTIF('ISV Inventory'!$AQ$6:$AQ$255,"File storage")</f>
        <v>0</v>
      </c>
      <c r="D56" s="49" t="n">
        <f aca="false">SUMIFS('ISV Inventory'!$R$6:$R$255,'ISV Inventory'!$AQ$6:$AQ$255,"File storage")</f>
        <v>0</v>
      </c>
    </row>
    <row r="57" customFormat="false" ht="15" hidden="false" customHeight="false" outlineLevel="0" collapsed="false">
      <c r="B57" s="13" t="s">
        <v>212</v>
      </c>
      <c r="C57" s="48" t="n">
        <f aca="false">COUNTIF('ISV Inventory'!$AQ$6:$AQ$255,"Firewall")</f>
        <v>0</v>
      </c>
      <c r="D57" s="49" t="n">
        <f aca="false">SUMIFS('ISV Inventory'!$R$6:$R$255,'ISV Inventory'!$AQ$6:$AQ$255,"Firewall")</f>
        <v>0</v>
      </c>
    </row>
    <row r="58" customFormat="false" ht="15" hidden="false" customHeight="false" outlineLevel="0" collapsed="false">
      <c r="B58" s="13" t="s">
        <v>213</v>
      </c>
      <c r="C58" s="48" t="n">
        <f aca="false">COUNTIF('ISV Inventory'!$AQ$6:$AQ$255,"HR")</f>
        <v>0</v>
      </c>
      <c r="D58" s="49" t="n">
        <f aca="false">SUMIFS('ISV Inventory'!$R$6:$R$255,'ISV Inventory'!$AQ$6:$AQ$255,"HR")</f>
        <v>0</v>
      </c>
    </row>
    <row r="59" customFormat="false" ht="15" hidden="false" customHeight="false" outlineLevel="0" collapsed="false">
      <c r="B59" s="13" t="s">
        <v>214</v>
      </c>
      <c r="C59" s="48" t="n">
        <f aca="false">COUNTIF('ISV Inventory'!$AQ$6:$AQ$255,"IT service management")</f>
        <v>0</v>
      </c>
      <c r="D59" s="49" t="n">
        <f aca="false">SUMIFS('ISV Inventory'!$R$6:$R$255,'ISV Inventory'!$AQ$6:$AQ$255,"IT service management")</f>
        <v>0</v>
      </c>
    </row>
    <row r="60" customFormat="false" ht="15" hidden="false" customHeight="false" outlineLevel="0" collapsed="false">
      <c r="B60" s="13" t="s">
        <v>215</v>
      </c>
      <c r="C60" s="48" t="n">
        <f aca="false">COUNTIF('ISV Inventory'!$AQ$6:$AQ$255,"Identity")</f>
        <v>1</v>
      </c>
      <c r="D60" s="49" t="n">
        <f aca="false">SUMIFS('ISV Inventory'!$R$6:$R$255,'ISV Inventory'!$AQ$6:$AQ$255,"Identity")</f>
        <v>58500</v>
      </c>
    </row>
    <row r="61" customFormat="false" ht="15" hidden="false" customHeight="false" outlineLevel="0" collapsed="false">
      <c r="B61" s="13" t="s">
        <v>216</v>
      </c>
      <c r="C61" s="48" t="n">
        <f aca="false">COUNTIF('ISV Inventory'!$AQ$6:$AQ$255,"Identity governance")</f>
        <v>0</v>
      </c>
      <c r="D61" s="49" t="n">
        <f aca="false">SUMIFS('ISV Inventory'!$R$6:$R$255,'ISV Inventory'!$AQ$6:$AQ$255,"Identity governance")</f>
        <v>0</v>
      </c>
    </row>
    <row r="62" customFormat="false" ht="15" hidden="false" customHeight="false" outlineLevel="0" collapsed="false">
      <c r="B62" s="13" t="s">
        <v>217</v>
      </c>
      <c r="C62" s="48" t="n">
        <f aca="false">COUNTIF('ISV Inventory'!$AQ$6:$AQ$255,"Incident management")</f>
        <v>0</v>
      </c>
      <c r="D62" s="49" t="n">
        <f aca="false">SUMIFS('ISV Inventory'!$R$6:$R$255,'ISV Inventory'!$AQ$6:$AQ$255,"Incident management")</f>
        <v>0</v>
      </c>
    </row>
    <row r="63" customFormat="false" ht="15" hidden="false" customHeight="false" outlineLevel="0" collapsed="false">
      <c r="B63" s="13" t="s">
        <v>218</v>
      </c>
      <c r="C63" s="48" t="n">
        <f aca="false">COUNTIF('ISV Inventory'!$AQ$6:$AQ$255,"Infrastructure as code")</f>
        <v>0</v>
      </c>
      <c r="D63" s="49" t="n">
        <f aca="false">SUMIFS('ISV Inventory'!$R$6:$R$255,'ISV Inventory'!$AQ$6:$AQ$255,"Infrastructure as code")</f>
        <v>0</v>
      </c>
    </row>
    <row r="64" customFormat="false" ht="15" hidden="false" customHeight="false" outlineLevel="0" collapsed="false">
      <c r="B64" s="13" t="s">
        <v>219</v>
      </c>
      <c r="C64" s="48" t="n">
        <f aca="false">COUNTIF('ISV Inventory'!$AQ$6:$AQ$255,"Knowledge base")</f>
        <v>0</v>
      </c>
      <c r="D64" s="49" t="n">
        <f aca="false">SUMIFS('ISV Inventory'!$R$6:$R$255,'ISV Inventory'!$AQ$6:$AQ$255,"Knowledge base")</f>
        <v>0</v>
      </c>
    </row>
    <row r="65" customFormat="false" ht="15" hidden="false" customHeight="false" outlineLevel="0" collapsed="false">
      <c r="B65" s="13" t="s">
        <v>220</v>
      </c>
      <c r="C65" s="48" t="n">
        <f aca="false">COUNTIF('ISV Inventory'!$AQ$6:$AQ$255,"Legal practice management")</f>
        <v>0</v>
      </c>
      <c r="D65" s="49" t="n">
        <f aca="false">SUMIFS('ISV Inventory'!$R$6:$R$255,'ISV Inventory'!$AQ$6:$AQ$255,"Legal practice management")</f>
        <v>0</v>
      </c>
    </row>
    <row r="66" customFormat="false" ht="15" hidden="false" customHeight="false" outlineLevel="0" collapsed="false">
      <c r="B66" s="13" t="s">
        <v>221</v>
      </c>
      <c r="C66" s="48" t="n">
        <f aca="false">COUNTIF('ISV Inventory'!$AQ$6:$AQ$255,"Marketing")</f>
        <v>0</v>
      </c>
      <c r="D66" s="49" t="n">
        <f aca="false">SUMIFS('ISV Inventory'!$R$6:$R$255,'ISV Inventory'!$AQ$6:$AQ$255,"Marketing")</f>
        <v>0</v>
      </c>
    </row>
    <row r="67" customFormat="false" ht="15" hidden="false" customHeight="false" outlineLevel="0" collapsed="false">
      <c r="B67" s="13" t="s">
        <v>222</v>
      </c>
      <c r="C67" s="48" t="n">
        <f aca="false">COUNTIF('ISV Inventory'!$AQ$6:$AQ$255,"Observability")</f>
        <v>0</v>
      </c>
      <c r="D67" s="49" t="n">
        <f aca="false">SUMIFS('ISV Inventory'!$R$6:$R$255,'ISV Inventory'!$AQ$6:$AQ$255,"Observability")</f>
        <v>0</v>
      </c>
    </row>
    <row r="68" customFormat="false" ht="15" hidden="false" customHeight="false" outlineLevel="0" collapsed="false">
      <c r="B68" s="13" t="s">
        <v>223</v>
      </c>
      <c r="C68" s="48" t="n">
        <f aca="false">COUNTIF('ISV Inventory'!$AQ$6:$AQ$255,"PDF")</f>
        <v>0</v>
      </c>
      <c r="D68" s="49" t="n">
        <f aca="false">SUMIFS('ISV Inventory'!$R$6:$R$255,'ISV Inventory'!$AQ$6:$AQ$255,"PDF")</f>
        <v>0</v>
      </c>
    </row>
    <row r="69" customFormat="false" ht="15" hidden="false" customHeight="false" outlineLevel="0" collapsed="false">
      <c r="B69" s="13" t="s">
        <v>224</v>
      </c>
      <c r="C69" s="48" t="n">
        <f aca="false">COUNTIF('ISV Inventory'!$AQ$6:$AQ$255,"Password management")</f>
        <v>0</v>
      </c>
      <c r="D69" s="49" t="n">
        <f aca="false">SUMIFS('ISV Inventory'!$R$6:$R$255,'ISV Inventory'!$AQ$6:$AQ$255,"Password management")</f>
        <v>0</v>
      </c>
    </row>
    <row r="70" customFormat="false" ht="15" hidden="false" customHeight="false" outlineLevel="0" collapsed="false">
      <c r="B70" s="13" t="s">
        <v>225</v>
      </c>
      <c r="C70" s="48" t="n">
        <f aca="false">COUNTIF('ISV Inventory'!$AQ$6:$AQ$255,"Privileged access")</f>
        <v>0</v>
      </c>
      <c r="D70" s="49" t="n">
        <f aca="false">SUMIFS('ISV Inventory'!$R$6:$R$255,'ISV Inventory'!$AQ$6:$AQ$255,"Privileged access")</f>
        <v>0</v>
      </c>
    </row>
    <row r="71" customFormat="false" ht="15" hidden="false" customHeight="false" outlineLevel="0" collapsed="false">
      <c r="B71" s="13" t="s">
        <v>226</v>
      </c>
      <c r="C71" s="48" t="n">
        <f aca="false">COUNTIF('ISV Inventory'!$AQ$6:$AQ$255,"Productivity suite")</f>
        <v>0</v>
      </c>
      <c r="D71" s="49" t="n">
        <f aca="false">SUMIFS('ISV Inventory'!$R$6:$R$255,'ISV Inventory'!$AQ$6:$AQ$255,"Productivity suite")</f>
        <v>0</v>
      </c>
    </row>
    <row r="72" customFormat="false" ht="15" hidden="false" customHeight="false" outlineLevel="0" collapsed="false">
      <c r="B72" s="13" t="s">
        <v>227</v>
      </c>
      <c r="C72" s="48" t="n">
        <f aca="false">COUNTIF('ISV Inventory'!$AQ$6:$AQ$255,"Remote access")</f>
        <v>0</v>
      </c>
      <c r="D72" s="49" t="n">
        <f aca="false">SUMIFS('ISV Inventory'!$R$6:$R$255,'ISV Inventory'!$AQ$6:$AQ$255,"Remote access")</f>
        <v>0</v>
      </c>
    </row>
    <row r="73" customFormat="false" ht="15" hidden="false" customHeight="false" outlineLevel="0" collapsed="false">
      <c r="B73" s="13" t="s">
        <v>228</v>
      </c>
      <c r="C73" s="48" t="n">
        <f aca="false">COUNTIF('ISV Inventory'!$AQ$6:$AQ$255,"Revenue intelligence")</f>
        <v>0</v>
      </c>
      <c r="D73" s="49" t="n">
        <f aca="false">SUMIFS('ISV Inventory'!$R$6:$R$255,'ISV Inventory'!$AQ$6:$AQ$255,"Revenue intelligence")</f>
        <v>0</v>
      </c>
    </row>
    <row r="74" customFormat="false" ht="15" hidden="false" customHeight="false" outlineLevel="0" collapsed="false">
      <c r="B74" s="13" t="s">
        <v>229</v>
      </c>
      <c r="C74" s="48" t="n">
        <f aca="false">COUNTIF('ISV Inventory'!$AQ$6:$AQ$255,"SASE / network security")</f>
        <v>0</v>
      </c>
      <c r="D74" s="49" t="n">
        <f aca="false">SUMIFS('ISV Inventory'!$R$6:$R$255,'ISV Inventory'!$AQ$6:$AQ$255,"SASE / network security")</f>
        <v>0</v>
      </c>
    </row>
    <row r="75" customFormat="false" ht="15" hidden="false" customHeight="false" outlineLevel="0" collapsed="false">
      <c r="B75" s="13" t="s">
        <v>230</v>
      </c>
      <c r="C75" s="48" t="n">
        <f aca="false">COUNTIF('ISV Inventory'!$AQ$6:$AQ$255,"SIEM")</f>
        <v>0</v>
      </c>
      <c r="D75" s="49" t="n">
        <f aca="false">SUMIFS('ISV Inventory'!$R$6:$R$255,'ISV Inventory'!$AQ$6:$AQ$255,"SIEM")</f>
        <v>0</v>
      </c>
    </row>
    <row r="76" customFormat="false" ht="15" hidden="false" customHeight="false" outlineLevel="0" collapsed="false">
      <c r="B76" s="13" t="s">
        <v>231</v>
      </c>
      <c r="C76" s="48" t="n">
        <f aca="false">COUNTIF('ISV Inventory'!$AQ$6:$AQ$255,"Sales engagement")</f>
        <v>0</v>
      </c>
      <c r="D76" s="49" t="n">
        <f aca="false">SUMIFS('ISV Inventory'!$R$6:$R$255,'ISV Inventory'!$AQ$6:$AQ$255,"Sales engagement")</f>
        <v>0</v>
      </c>
    </row>
    <row r="77" customFormat="false" ht="15" hidden="false" customHeight="false" outlineLevel="0" collapsed="false">
      <c r="B77" s="13" t="s">
        <v>232</v>
      </c>
      <c r="C77" s="48" t="n">
        <f aca="false">COUNTIF('ISV Inventory'!$AQ$6:$AQ$255,"Sales intelligence")</f>
        <v>0</v>
      </c>
      <c r="D77" s="49" t="n">
        <f aca="false">SUMIFS('ISV Inventory'!$R$6:$R$255,'ISV Inventory'!$AQ$6:$AQ$255,"Sales intelligence")</f>
        <v>0</v>
      </c>
    </row>
    <row r="78" customFormat="false" ht="15" hidden="false" customHeight="false" outlineLevel="0" collapsed="false">
      <c r="B78" s="13" t="s">
        <v>233</v>
      </c>
      <c r="C78" s="48" t="n">
        <f aca="false">COUNTIF('ISV Inventory'!$AQ$6:$AQ$255,"Security awareness")</f>
        <v>0</v>
      </c>
      <c r="D78" s="49" t="n">
        <f aca="false">SUMIFS('ISV Inventory'!$R$6:$R$255,'ISV Inventory'!$AQ$6:$AQ$255,"Security awareness")</f>
        <v>0</v>
      </c>
    </row>
    <row r="79" customFormat="false" ht="15" hidden="false" customHeight="false" outlineLevel="0" collapsed="false">
      <c r="B79" s="13" t="s">
        <v>234</v>
      </c>
      <c r="C79" s="48" t="n">
        <f aca="false">COUNTIF('ISV Inventory'!$AQ$6:$AQ$255,"Source control &amp; CI/CD")</f>
        <v>0</v>
      </c>
      <c r="D79" s="49" t="n">
        <f aca="false">SUMIFS('ISV Inventory'!$R$6:$R$255,'ISV Inventory'!$AQ$6:$AQ$255,"Source control &amp; CI/CD")</f>
        <v>0</v>
      </c>
    </row>
    <row r="80" customFormat="false" ht="15" hidden="false" customHeight="false" outlineLevel="0" collapsed="false">
      <c r="B80" s="13" t="s">
        <v>235</v>
      </c>
      <c r="C80" s="48" t="n">
        <f aca="false">COUNTIF('ISV Inventory'!$AQ$6:$AQ$255,"Spend management")</f>
        <v>0</v>
      </c>
      <c r="D80" s="49" t="n">
        <f aca="false">SUMIFS('ISV Inventory'!$R$6:$R$255,'ISV Inventory'!$AQ$6:$AQ$255,"Spend management")</f>
        <v>0</v>
      </c>
    </row>
    <row r="81" customFormat="false" ht="15" hidden="false" customHeight="false" outlineLevel="0" collapsed="false">
      <c r="B81" s="13" t="s">
        <v>236</v>
      </c>
      <c r="C81" s="48" t="n">
        <f aca="false">COUNTIF('ISV Inventory'!$AQ$6:$AQ$255,"Team chat")</f>
        <v>0</v>
      </c>
      <c r="D81" s="49" t="n">
        <f aca="false">SUMIFS('ISV Inventory'!$R$6:$R$255,'ISV Inventory'!$AQ$6:$AQ$255,"Team chat")</f>
        <v>0</v>
      </c>
    </row>
    <row r="82" customFormat="false" ht="15" hidden="false" customHeight="false" outlineLevel="0" collapsed="false">
      <c r="B82" s="13" t="s">
        <v>237</v>
      </c>
      <c r="C82" s="48" t="n">
        <f aca="false">COUNTIF('ISV Inventory'!$AQ$6:$AQ$255,"UCaaS")</f>
        <v>0</v>
      </c>
      <c r="D82" s="49" t="n">
        <f aca="false">SUMIFS('ISV Inventory'!$R$6:$R$255,'ISV Inventory'!$AQ$6:$AQ$255,"UCaaS")</f>
        <v>0</v>
      </c>
    </row>
    <row r="83" customFormat="false" ht="15" hidden="false" customHeight="false" outlineLevel="0" collapsed="false">
      <c r="B83" s="13" t="s">
        <v>238</v>
      </c>
      <c r="C83" s="48" t="n">
        <f aca="false">COUNTIF('ISV Inventory'!$AQ$6:$AQ$255,"Video meetings")</f>
        <v>0</v>
      </c>
      <c r="D83" s="49" t="n">
        <f aca="false">SUMIFS('ISV Inventory'!$R$6:$R$255,'ISV Inventory'!$AQ$6:$AQ$255,"Video meetings")</f>
        <v>0</v>
      </c>
    </row>
    <row r="84" customFormat="false" ht="15" hidden="false" customHeight="false" outlineLevel="0" collapsed="false">
      <c r="B84" s="13" t="s">
        <v>239</v>
      </c>
      <c r="C84" s="48" t="n">
        <f aca="false">COUNTIF('ISV Inventory'!$AQ$6:$AQ$255,"Virtual desktop")</f>
        <v>0</v>
      </c>
      <c r="D84" s="49" t="n">
        <f aca="false">SUMIFS('ISV Inventory'!$R$6:$R$255,'ISV Inventory'!$AQ$6:$AQ$255,"Virtual desktop")</f>
        <v>0</v>
      </c>
    </row>
    <row r="85" customFormat="false" ht="15" hidden="false" customHeight="false" outlineLevel="0" collapsed="false">
      <c r="B85" s="13" t="s">
        <v>240</v>
      </c>
      <c r="C85" s="48" t="n">
        <f aca="false">COUNTIF('ISV Inventory'!$AQ$6:$AQ$255,"Vulnerability management")</f>
        <v>0</v>
      </c>
      <c r="D85" s="49" t="n">
        <f aca="false">SUMIFS('ISV Inventory'!$R$6:$R$255,'ISV Inventory'!$AQ$6:$AQ$255,"Vulnerability management")</f>
        <v>0</v>
      </c>
    </row>
    <row r="86" customFormat="false" ht="15" hidden="false" customHeight="false" outlineLevel="0" collapsed="false">
      <c r="B86" s="13" t="s">
        <v>241</v>
      </c>
      <c r="C86" s="48" t="n">
        <f aca="false">COUNTIF('ISV Inventory'!$AQ$6:$AQ$255,"Whiteboarding")</f>
        <v>0</v>
      </c>
      <c r="D86" s="49" t="n">
        <f aca="false">SUMIFS('ISV Inventory'!$R$6:$R$255,'ISV Inventory'!$AQ$6:$AQ$255,"Whiteboarding")</f>
        <v>0</v>
      </c>
    </row>
    <row r="87" customFormat="false" ht="15" hidden="false" customHeight="false" outlineLevel="0" collapsed="false">
      <c r="B87" s="13" t="s">
        <v>242</v>
      </c>
      <c r="C87" s="48" t="n">
        <f aca="false">COUNTIF('ISV Inventory'!$AQ$6:$AQ$255,"Work management")</f>
        <v>0</v>
      </c>
      <c r="D87" s="49" t="n">
        <f aca="false">SUMIFS('ISV Inventory'!$R$6:$R$255,'ISV Inventory'!$AQ$6:$AQ$255,"Work management")</f>
        <v>0</v>
      </c>
    </row>
    <row r="88" customFormat="false" ht="15" hidden="false" customHeight="false" outlineLevel="0" collapsed="false">
      <c r="B88" s="13" t="s">
        <v>243</v>
      </c>
      <c r="C88" s="48" t="n">
        <f aca="false">COUNTIF('ISV Inventory'!$AQ$6:$AQ$255,"Work tracking")</f>
        <v>0</v>
      </c>
      <c r="D88" s="49" t="n">
        <f aca="false">SUMIFS('ISV Inventory'!$R$6:$R$255,'ISV Inventory'!$AQ$6:$AQ$255,"Work tracking")</f>
        <v>0</v>
      </c>
    </row>
  </sheetData>
  <conditionalFormatting sqref="C30:C88">
    <cfRule type="cellIs" priority="2" operator="greaterThanOrEqual" aboveAverage="0" equalAverage="0" bottom="0" percent="0" rank="0" text="" dxfId="17">
      <formula>2</formula>
    </cfRule>
    <cfRule type="cellIs" priority="3" operator="equal" aboveAverage="0" equalAverage="0" bottom="0" percent="0" rank="0" text="" dxfId="1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D7C"/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4" min="3" style="0" width="70"/>
  </cols>
  <sheetData>
    <row r="1" customFormat="false" ht="19.7" hidden="false" customHeight="false" outlineLevel="0" collapsed="false">
      <c r="B1" s="9" t="s">
        <v>244</v>
      </c>
    </row>
    <row r="2" customFormat="false" ht="15" hidden="false" customHeight="false" outlineLevel="0" collapsed="false">
      <c r="B2" s="10" t="s">
        <v>245</v>
      </c>
    </row>
    <row r="4" customFormat="false" ht="15" hidden="false" customHeight="false" outlineLevel="0" collapsed="false">
      <c r="A4" s="51" t="s">
        <v>84</v>
      </c>
      <c r="B4" s="51" t="s">
        <v>246</v>
      </c>
      <c r="C4" s="51" t="s">
        <v>247</v>
      </c>
      <c r="D4" s="51" t="s">
        <v>248</v>
      </c>
    </row>
    <row r="5" customFormat="false" ht="42" hidden="false" customHeight="true" outlineLevel="0" collapsed="false">
      <c r="A5" s="52" t="n">
        <v>1</v>
      </c>
      <c r="B5" s="52" t="s">
        <v>249</v>
      </c>
      <c r="C5" s="52" t="s">
        <v>250</v>
      </c>
      <c r="D5" s="33"/>
    </row>
    <row r="6" customFormat="false" ht="42" hidden="false" customHeight="true" outlineLevel="0" collapsed="false">
      <c r="A6" s="52" t="n">
        <v>2</v>
      </c>
      <c r="B6" s="52" t="s">
        <v>249</v>
      </c>
      <c r="C6" s="52" t="s">
        <v>251</v>
      </c>
      <c r="D6" s="33"/>
    </row>
    <row r="7" customFormat="false" ht="42" hidden="false" customHeight="true" outlineLevel="0" collapsed="false">
      <c r="A7" s="52" t="n">
        <v>3</v>
      </c>
      <c r="B7" s="52" t="s">
        <v>249</v>
      </c>
      <c r="C7" s="52" t="s">
        <v>252</v>
      </c>
      <c r="D7" s="33"/>
    </row>
    <row r="8" customFormat="false" ht="42" hidden="false" customHeight="true" outlineLevel="0" collapsed="false">
      <c r="A8" s="52" t="n">
        <v>4</v>
      </c>
      <c r="B8" s="52" t="s">
        <v>253</v>
      </c>
      <c r="C8" s="52" t="s">
        <v>254</v>
      </c>
      <c r="D8" s="33"/>
    </row>
    <row r="9" customFormat="false" ht="42" hidden="false" customHeight="true" outlineLevel="0" collapsed="false">
      <c r="A9" s="52" t="n">
        <v>5</v>
      </c>
      <c r="B9" s="52" t="s">
        <v>253</v>
      </c>
      <c r="C9" s="52" t="s">
        <v>255</v>
      </c>
      <c r="D9" s="33"/>
    </row>
    <row r="10" customFormat="false" ht="42" hidden="false" customHeight="true" outlineLevel="0" collapsed="false">
      <c r="A10" s="52" t="n">
        <v>6</v>
      </c>
      <c r="B10" s="52" t="s">
        <v>253</v>
      </c>
      <c r="C10" s="52" t="s">
        <v>256</v>
      </c>
      <c r="D10" s="33"/>
    </row>
    <row r="11" customFormat="false" ht="42" hidden="false" customHeight="true" outlineLevel="0" collapsed="false">
      <c r="A11" s="52" t="n">
        <v>7</v>
      </c>
      <c r="B11" s="52" t="s">
        <v>253</v>
      </c>
      <c r="C11" s="52" t="s">
        <v>257</v>
      </c>
      <c r="D11" s="33"/>
    </row>
    <row r="12" customFormat="false" ht="42" hidden="false" customHeight="true" outlineLevel="0" collapsed="false">
      <c r="A12" s="52" t="n">
        <v>8</v>
      </c>
      <c r="B12" s="52" t="s">
        <v>258</v>
      </c>
      <c r="C12" s="52" t="s">
        <v>259</v>
      </c>
      <c r="D12" s="33"/>
    </row>
    <row r="13" customFormat="false" ht="42" hidden="false" customHeight="true" outlineLevel="0" collapsed="false">
      <c r="A13" s="52" t="n">
        <v>9</v>
      </c>
      <c r="B13" s="52" t="s">
        <v>258</v>
      </c>
      <c r="C13" s="52" t="s">
        <v>260</v>
      </c>
      <c r="D13" s="33"/>
    </row>
    <row r="14" customFormat="false" ht="42" hidden="false" customHeight="true" outlineLevel="0" collapsed="false">
      <c r="A14" s="52" t="n">
        <v>10</v>
      </c>
      <c r="B14" s="52" t="s">
        <v>258</v>
      </c>
      <c r="C14" s="52" t="s">
        <v>261</v>
      </c>
      <c r="D14" s="33"/>
    </row>
    <row r="15" customFormat="false" ht="42" hidden="false" customHeight="true" outlineLevel="0" collapsed="false">
      <c r="A15" s="52" t="n">
        <v>11</v>
      </c>
      <c r="B15" s="52" t="s">
        <v>262</v>
      </c>
      <c r="C15" s="52" t="s">
        <v>263</v>
      </c>
      <c r="D15" s="33"/>
    </row>
    <row r="16" customFormat="false" ht="42" hidden="false" customHeight="true" outlineLevel="0" collapsed="false">
      <c r="A16" s="52" t="n">
        <v>12</v>
      </c>
      <c r="B16" s="52" t="s">
        <v>262</v>
      </c>
      <c r="C16" s="52" t="s">
        <v>264</v>
      </c>
      <c r="D16" s="33"/>
    </row>
    <row r="17" customFormat="false" ht="42" hidden="false" customHeight="true" outlineLevel="0" collapsed="false">
      <c r="A17" s="52" t="n">
        <v>13</v>
      </c>
      <c r="B17" s="52" t="s">
        <v>262</v>
      </c>
      <c r="C17" s="52" t="s">
        <v>265</v>
      </c>
      <c r="D17" s="33"/>
    </row>
    <row r="18" customFormat="false" ht="42" hidden="false" customHeight="true" outlineLevel="0" collapsed="false">
      <c r="A18" s="52" t="n">
        <v>14</v>
      </c>
      <c r="B18" s="52" t="s">
        <v>266</v>
      </c>
      <c r="C18" s="52" t="s">
        <v>267</v>
      </c>
      <c r="D18" s="33"/>
    </row>
    <row r="19" customFormat="false" ht="42" hidden="false" customHeight="true" outlineLevel="0" collapsed="false">
      <c r="A19" s="52" t="n">
        <v>15</v>
      </c>
      <c r="B19" s="52" t="s">
        <v>266</v>
      </c>
      <c r="C19" s="52" t="s">
        <v>268</v>
      </c>
      <c r="D19" s="33"/>
    </row>
    <row r="20" customFormat="false" ht="42" hidden="false" customHeight="true" outlineLevel="0" collapsed="false">
      <c r="A20" s="52" t="n">
        <v>16</v>
      </c>
      <c r="B20" s="52" t="s">
        <v>266</v>
      </c>
      <c r="C20" s="52" t="s">
        <v>269</v>
      </c>
      <c r="D20" s="33"/>
    </row>
    <row r="21" customFormat="false" ht="42" hidden="false" customHeight="true" outlineLevel="0" collapsed="false">
      <c r="A21" s="52" t="n">
        <v>17</v>
      </c>
      <c r="B21" s="52" t="s">
        <v>266</v>
      </c>
      <c r="C21" s="52" t="s">
        <v>270</v>
      </c>
      <c r="D21" s="33"/>
    </row>
    <row r="22" customFormat="false" ht="42" hidden="false" customHeight="true" outlineLevel="0" collapsed="false">
      <c r="A22" s="52" t="n">
        <v>18</v>
      </c>
      <c r="B22" s="52" t="s">
        <v>271</v>
      </c>
      <c r="C22" s="52" t="s">
        <v>272</v>
      </c>
      <c r="D22" s="33"/>
    </row>
    <row r="23" customFormat="false" ht="42" hidden="false" customHeight="true" outlineLevel="0" collapsed="false">
      <c r="A23" s="52" t="n">
        <v>19</v>
      </c>
      <c r="B23" s="52" t="s">
        <v>271</v>
      </c>
      <c r="C23" s="52" t="s">
        <v>273</v>
      </c>
      <c r="D23" s="33"/>
    </row>
    <row r="24" customFormat="false" ht="42" hidden="false" customHeight="true" outlineLevel="0" collapsed="false">
      <c r="A24" s="52" t="n">
        <v>20</v>
      </c>
      <c r="B24" s="52" t="s">
        <v>274</v>
      </c>
      <c r="C24" s="52" t="s">
        <v>275</v>
      </c>
      <c r="D24" s="33"/>
    </row>
    <row r="25" customFormat="false" ht="42" hidden="false" customHeight="true" outlineLevel="0" collapsed="false">
      <c r="A25" s="52" t="n">
        <v>21</v>
      </c>
      <c r="B25" s="52" t="s">
        <v>276</v>
      </c>
      <c r="C25" s="52" t="s">
        <v>277</v>
      </c>
      <c r="D25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5" min="4" style="0" width="15"/>
    <col collapsed="false" customWidth="true" hidden="false" outlineLevel="0" max="6" min="6" style="0" width="70"/>
  </cols>
  <sheetData>
    <row r="1" customFormat="false" ht="19.7" hidden="false" customHeight="false" outlineLevel="0" collapsed="false">
      <c r="A1" s="9" t="s">
        <v>278</v>
      </c>
    </row>
    <row r="2" customFormat="false" ht="15" hidden="false" customHeight="false" outlineLevel="0" collapsed="false">
      <c r="A2" s="53" t="s">
        <v>279</v>
      </c>
    </row>
    <row r="4" customFormat="false" ht="15" hidden="false" customHeight="false" outlineLevel="0" collapsed="false">
      <c r="A4" s="51" t="s">
        <v>78</v>
      </c>
      <c r="B4" s="51" t="s">
        <v>87</v>
      </c>
      <c r="C4" s="51" t="s">
        <v>126</v>
      </c>
      <c r="D4" s="51" t="s">
        <v>127</v>
      </c>
      <c r="E4" s="51" t="s">
        <v>128</v>
      </c>
      <c r="F4" s="51" t="s">
        <v>262</v>
      </c>
    </row>
    <row r="5" customFormat="false" ht="15" hidden="false" customHeight="false" outlineLevel="0" collapsed="false">
      <c r="A5" s="54" t="s">
        <v>280</v>
      </c>
      <c r="B5" s="54" t="s">
        <v>281</v>
      </c>
      <c r="C5" s="54" t="s">
        <v>224</v>
      </c>
      <c r="D5" s="54" t="s">
        <v>282</v>
      </c>
      <c r="E5" s="54" t="s">
        <v>282</v>
      </c>
      <c r="F5" s="54" t="s">
        <v>283</v>
      </c>
    </row>
    <row r="6" customFormat="false" ht="15" hidden="false" customHeight="false" outlineLevel="0" collapsed="false">
      <c r="A6" s="54" t="s">
        <v>284</v>
      </c>
      <c r="B6" s="54" t="s">
        <v>284</v>
      </c>
      <c r="C6" s="54" t="s">
        <v>209</v>
      </c>
      <c r="D6" s="54" t="s">
        <v>282</v>
      </c>
      <c r="E6" s="54" t="s">
        <v>282</v>
      </c>
      <c r="F6" s="54" t="s">
        <v>285</v>
      </c>
    </row>
    <row r="7" customFormat="false" ht="15" hidden="false" customHeight="false" outlineLevel="0" collapsed="false">
      <c r="A7" s="54" t="s">
        <v>286</v>
      </c>
      <c r="B7" s="54" t="s">
        <v>287</v>
      </c>
      <c r="C7" s="54" t="s">
        <v>190</v>
      </c>
      <c r="D7" s="54" t="s">
        <v>288</v>
      </c>
      <c r="E7" s="54" t="s">
        <v>288</v>
      </c>
      <c r="F7" s="54" t="s">
        <v>289</v>
      </c>
    </row>
    <row r="8" customFormat="false" ht="15" hidden="false" customHeight="false" outlineLevel="0" collapsed="false">
      <c r="A8" s="54" t="s">
        <v>290</v>
      </c>
      <c r="B8" s="54" t="s">
        <v>291</v>
      </c>
      <c r="C8" s="54" t="s">
        <v>223</v>
      </c>
      <c r="D8" s="54" t="s">
        <v>288</v>
      </c>
      <c r="E8" s="54" t="s">
        <v>288</v>
      </c>
      <c r="F8" s="54" t="s">
        <v>292</v>
      </c>
    </row>
    <row r="9" customFormat="false" ht="15" hidden="false" customHeight="false" outlineLevel="0" collapsed="false">
      <c r="A9" s="54" t="s">
        <v>293</v>
      </c>
      <c r="B9" s="54" t="s">
        <v>291</v>
      </c>
      <c r="C9" s="54" t="s">
        <v>207</v>
      </c>
      <c r="D9" s="54" t="s">
        <v>294</v>
      </c>
      <c r="E9" s="54" t="s">
        <v>282</v>
      </c>
      <c r="F9" s="54" t="s">
        <v>295</v>
      </c>
    </row>
    <row r="10" customFormat="false" ht="15" hidden="false" customHeight="false" outlineLevel="0" collapsed="false">
      <c r="A10" s="54" t="s">
        <v>296</v>
      </c>
      <c r="B10" s="54" t="s">
        <v>291</v>
      </c>
      <c r="C10" s="54" t="s">
        <v>205</v>
      </c>
      <c r="D10" s="54" t="s">
        <v>282</v>
      </c>
      <c r="E10" s="54" t="s">
        <v>297</v>
      </c>
      <c r="F10" s="54" t="s">
        <v>298</v>
      </c>
    </row>
    <row r="11" customFormat="false" ht="15" hidden="false" customHeight="false" outlineLevel="0" collapsed="false">
      <c r="A11" s="54" t="s">
        <v>299</v>
      </c>
      <c r="B11" s="54" t="s">
        <v>291</v>
      </c>
      <c r="C11" s="54" t="s">
        <v>221</v>
      </c>
      <c r="D11" s="54" t="s">
        <v>282</v>
      </c>
      <c r="E11" s="54" t="s">
        <v>288</v>
      </c>
      <c r="F11" s="54" t="s">
        <v>300</v>
      </c>
    </row>
    <row r="12" customFormat="false" ht="15" hidden="false" customHeight="false" outlineLevel="0" collapsed="false">
      <c r="A12" s="54" t="s">
        <v>301</v>
      </c>
      <c r="B12" s="54" t="s">
        <v>302</v>
      </c>
      <c r="C12" s="54" t="s">
        <v>213</v>
      </c>
      <c r="D12" s="54" t="s">
        <v>288</v>
      </c>
      <c r="E12" s="54" t="s">
        <v>288</v>
      </c>
      <c r="F12" s="54" t="s">
        <v>303</v>
      </c>
    </row>
    <row r="13" customFormat="false" ht="15" hidden="false" customHeight="false" outlineLevel="0" collapsed="false">
      <c r="A13" s="54" t="s">
        <v>304</v>
      </c>
      <c r="B13" s="54" t="s">
        <v>304</v>
      </c>
      <c r="C13" s="54" t="s">
        <v>187</v>
      </c>
      <c r="D13" s="54" t="s">
        <v>282</v>
      </c>
      <c r="E13" s="54" t="s">
        <v>282</v>
      </c>
      <c r="F13" s="54"/>
    </row>
    <row r="14" customFormat="false" ht="15" hidden="false" customHeight="false" outlineLevel="0" collapsed="false">
      <c r="A14" s="54" t="s">
        <v>305</v>
      </c>
      <c r="B14" s="54" t="s">
        <v>305</v>
      </c>
      <c r="C14" s="54" t="s">
        <v>194</v>
      </c>
      <c r="D14" s="54" t="s">
        <v>282</v>
      </c>
      <c r="E14" s="54" t="s">
        <v>282</v>
      </c>
      <c r="F14" s="54" t="s">
        <v>306</v>
      </c>
    </row>
    <row r="15" customFormat="false" ht="15" hidden="false" customHeight="false" outlineLevel="0" collapsed="false">
      <c r="A15" s="54" t="s">
        <v>307</v>
      </c>
      <c r="B15" s="54" t="s">
        <v>308</v>
      </c>
      <c r="C15" s="54" t="s">
        <v>242</v>
      </c>
      <c r="D15" s="54" t="s">
        <v>288</v>
      </c>
      <c r="E15" s="54" t="s">
        <v>288</v>
      </c>
      <c r="F15" s="54" t="s">
        <v>309</v>
      </c>
    </row>
    <row r="16" customFormat="false" ht="15" hidden="false" customHeight="false" outlineLevel="0" collapsed="false">
      <c r="A16" s="54" t="s">
        <v>310</v>
      </c>
      <c r="B16" s="54" t="s">
        <v>311</v>
      </c>
      <c r="C16" s="54" t="s">
        <v>219</v>
      </c>
      <c r="D16" s="54" t="s">
        <v>282</v>
      </c>
      <c r="E16" s="54" t="s">
        <v>297</v>
      </c>
      <c r="F16" s="54" t="s">
        <v>312</v>
      </c>
    </row>
    <row r="17" customFormat="false" ht="15" hidden="false" customHeight="false" outlineLevel="0" collapsed="false">
      <c r="A17" s="54" t="s">
        <v>313</v>
      </c>
      <c r="B17" s="54" t="s">
        <v>314</v>
      </c>
      <c r="C17" s="54" t="s">
        <v>205</v>
      </c>
      <c r="D17" s="54" t="s">
        <v>288</v>
      </c>
      <c r="E17" s="54" t="s">
        <v>288</v>
      </c>
      <c r="F17" s="54" t="s">
        <v>315</v>
      </c>
    </row>
    <row r="18" customFormat="false" ht="15" hidden="false" customHeight="false" outlineLevel="0" collapsed="false">
      <c r="A18" s="54" t="s">
        <v>316</v>
      </c>
      <c r="B18" s="54" t="s">
        <v>316</v>
      </c>
      <c r="C18" s="54" t="s">
        <v>213</v>
      </c>
      <c r="D18" s="54" t="s">
        <v>288</v>
      </c>
      <c r="E18" s="54" t="s">
        <v>288</v>
      </c>
      <c r="F18" s="54" t="s">
        <v>317</v>
      </c>
    </row>
    <row r="19" customFormat="false" ht="15" hidden="false" customHeight="false" outlineLevel="0" collapsed="false">
      <c r="A19" s="54" t="s">
        <v>318</v>
      </c>
      <c r="B19" s="54" t="s">
        <v>318</v>
      </c>
      <c r="C19" s="54" t="s">
        <v>225</v>
      </c>
      <c r="D19" s="54" t="s">
        <v>282</v>
      </c>
      <c r="E19" s="54" t="s">
        <v>282</v>
      </c>
      <c r="F19" s="54" t="s">
        <v>319</v>
      </c>
    </row>
    <row r="20" customFormat="false" ht="15" hidden="false" customHeight="false" outlineLevel="0" collapsed="false">
      <c r="A20" s="54" t="s">
        <v>320</v>
      </c>
      <c r="B20" s="54" t="s">
        <v>321</v>
      </c>
      <c r="C20" s="54" t="s">
        <v>214</v>
      </c>
      <c r="D20" s="54" t="s">
        <v>282</v>
      </c>
      <c r="E20" s="54" t="s">
        <v>282</v>
      </c>
      <c r="F20" s="54" t="s">
        <v>322</v>
      </c>
    </row>
    <row r="21" customFormat="false" ht="15" hidden="false" customHeight="false" outlineLevel="0" collapsed="false">
      <c r="A21" s="54" t="s">
        <v>323</v>
      </c>
      <c r="B21" s="54" t="s">
        <v>324</v>
      </c>
      <c r="C21" s="54" t="s">
        <v>211</v>
      </c>
      <c r="D21" s="54" t="s">
        <v>288</v>
      </c>
      <c r="E21" s="54" t="s">
        <v>288</v>
      </c>
      <c r="F21" s="54" t="s">
        <v>325</v>
      </c>
    </row>
    <row r="22" customFormat="false" ht="15" hidden="false" customHeight="false" outlineLevel="0" collapsed="false">
      <c r="A22" s="54" t="s">
        <v>326</v>
      </c>
      <c r="B22" s="54" t="s">
        <v>326</v>
      </c>
      <c r="C22" s="54" t="s">
        <v>221</v>
      </c>
      <c r="D22" s="54" t="s">
        <v>288</v>
      </c>
      <c r="E22" s="54" t="s">
        <v>288</v>
      </c>
      <c r="F22" s="54" t="s">
        <v>327</v>
      </c>
    </row>
    <row r="23" customFormat="false" ht="15" hidden="false" customHeight="false" outlineLevel="0" collapsed="false">
      <c r="A23" s="54" t="s">
        <v>328</v>
      </c>
      <c r="B23" s="54" t="s">
        <v>329</v>
      </c>
      <c r="C23" s="54" t="s">
        <v>205</v>
      </c>
      <c r="D23" s="54" t="s">
        <v>288</v>
      </c>
      <c r="E23" s="54" t="s">
        <v>288</v>
      </c>
      <c r="F23" s="54" t="s">
        <v>330</v>
      </c>
    </row>
    <row r="24" customFormat="false" ht="15" hidden="false" customHeight="false" outlineLevel="0" collapsed="false">
      <c r="A24" s="54" t="s">
        <v>331</v>
      </c>
      <c r="B24" s="54" t="s">
        <v>332</v>
      </c>
      <c r="C24" s="54" t="s">
        <v>212</v>
      </c>
      <c r="D24" s="54" t="s">
        <v>282</v>
      </c>
      <c r="E24" s="54" t="s">
        <v>282</v>
      </c>
      <c r="F24" s="54" t="s">
        <v>333</v>
      </c>
    </row>
    <row r="25" customFormat="false" ht="15" hidden="false" customHeight="false" outlineLevel="0" collapsed="false">
      <c r="A25" s="54" t="s">
        <v>334</v>
      </c>
      <c r="B25" s="54" t="s">
        <v>335</v>
      </c>
      <c r="C25" s="54" t="s">
        <v>188</v>
      </c>
      <c r="D25" s="54" t="s">
        <v>282</v>
      </c>
      <c r="E25" s="54" t="s">
        <v>294</v>
      </c>
      <c r="F25" s="54" t="s">
        <v>336</v>
      </c>
    </row>
    <row r="26" customFormat="false" ht="15" hidden="false" customHeight="false" outlineLevel="0" collapsed="false">
      <c r="A26" s="54" t="s">
        <v>337</v>
      </c>
      <c r="B26" s="54" t="s">
        <v>337</v>
      </c>
      <c r="C26" s="54" t="s">
        <v>192</v>
      </c>
      <c r="D26" s="54" t="s">
        <v>282</v>
      </c>
      <c r="E26" s="54" t="s">
        <v>282</v>
      </c>
      <c r="F26" s="54" t="s">
        <v>338</v>
      </c>
    </row>
    <row r="27" customFormat="false" ht="15" hidden="false" customHeight="false" outlineLevel="0" collapsed="false">
      <c r="A27" s="54" t="s">
        <v>339</v>
      </c>
      <c r="B27" s="54" t="s">
        <v>340</v>
      </c>
      <c r="C27" s="54" t="s">
        <v>215</v>
      </c>
      <c r="D27" s="54" t="s">
        <v>282</v>
      </c>
      <c r="E27" s="54" t="s">
        <v>282</v>
      </c>
      <c r="F27" s="54" t="s">
        <v>341</v>
      </c>
    </row>
    <row r="28" customFormat="false" ht="15" hidden="false" customHeight="false" outlineLevel="0" collapsed="false">
      <c r="A28" s="54" t="s">
        <v>342</v>
      </c>
      <c r="B28" s="54" t="s">
        <v>343</v>
      </c>
      <c r="C28" s="54" t="s">
        <v>239</v>
      </c>
      <c r="D28" s="54" t="s">
        <v>288</v>
      </c>
      <c r="E28" s="54" t="s">
        <v>288</v>
      </c>
      <c r="F28" s="54" t="s">
        <v>344</v>
      </c>
    </row>
    <row r="29" customFormat="false" ht="15" hidden="false" customHeight="false" outlineLevel="0" collapsed="false">
      <c r="A29" s="54" t="s">
        <v>345</v>
      </c>
      <c r="B29" s="54" t="s">
        <v>346</v>
      </c>
      <c r="C29" s="54" t="s">
        <v>220</v>
      </c>
      <c r="D29" s="54" t="s">
        <v>288</v>
      </c>
      <c r="E29" s="54" t="s">
        <v>288</v>
      </c>
      <c r="F29" s="54"/>
    </row>
    <row r="30" customFormat="false" ht="15" hidden="false" customHeight="false" outlineLevel="0" collapsed="false">
      <c r="A30" s="54" t="s">
        <v>347</v>
      </c>
      <c r="B30" s="54" t="s">
        <v>348</v>
      </c>
      <c r="C30" s="54" t="s">
        <v>201</v>
      </c>
      <c r="D30" s="54" t="s">
        <v>282</v>
      </c>
      <c r="E30" s="54" t="s">
        <v>282</v>
      </c>
      <c r="F30" s="54" t="s">
        <v>349</v>
      </c>
    </row>
    <row r="31" customFormat="false" ht="15" hidden="false" customHeight="false" outlineLevel="0" collapsed="false">
      <c r="A31" s="54" t="s">
        <v>350</v>
      </c>
      <c r="B31" s="54" t="s">
        <v>351</v>
      </c>
      <c r="C31" s="54" t="s">
        <v>229</v>
      </c>
      <c r="D31" s="54" t="s">
        <v>294</v>
      </c>
      <c r="E31" s="54" t="s">
        <v>282</v>
      </c>
      <c r="F31" s="54" t="s">
        <v>352</v>
      </c>
    </row>
    <row r="32" customFormat="false" ht="15" hidden="false" customHeight="false" outlineLevel="0" collapsed="false">
      <c r="A32" s="54" t="s">
        <v>353</v>
      </c>
      <c r="B32" s="54" t="s">
        <v>354</v>
      </c>
      <c r="C32" s="54" t="s">
        <v>190</v>
      </c>
      <c r="D32" s="54" t="s">
        <v>288</v>
      </c>
      <c r="E32" s="54" t="s">
        <v>288</v>
      </c>
      <c r="F32" s="54" t="s">
        <v>355</v>
      </c>
    </row>
    <row r="33" customFormat="false" ht="15" hidden="false" customHeight="false" outlineLevel="0" collapsed="false">
      <c r="A33" s="54" t="s">
        <v>356</v>
      </c>
      <c r="B33" s="54" t="s">
        <v>357</v>
      </c>
      <c r="C33" s="54" t="s">
        <v>190</v>
      </c>
      <c r="D33" s="54" t="s">
        <v>288</v>
      </c>
      <c r="E33" s="54" t="s">
        <v>288</v>
      </c>
      <c r="F33" s="54" t="s">
        <v>358</v>
      </c>
    </row>
    <row r="34" customFormat="false" ht="15" hidden="false" customHeight="false" outlineLevel="0" collapsed="false">
      <c r="A34" s="54" t="s">
        <v>359</v>
      </c>
      <c r="B34" s="54" t="s">
        <v>360</v>
      </c>
      <c r="C34" s="54" t="s">
        <v>202</v>
      </c>
      <c r="D34" s="54" t="s">
        <v>282</v>
      </c>
      <c r="E34" s="54" t="s">
        <v>282</v>
      </c>
      <c r="F34" s="54"/>
    </row>
    <row r="35" customFormat="false" ht="15" hidden="false" customHeight="false" outlineLevel="0" collapsed="false">
      <c r="A35" s="54" t="s">
        <v>361</v>
      </c>
      <c r="B35" s="54" t="s">
        <v>362</v>
      </c>
      <c r="C35" s="54" t="s">
        <v>204</v>
      </c>
      <c r="D35" s="54" t="s">
        <v>282</v>
      </c>
      <c r="E35" s="54" t="s">
        <v>282</v>
      </c>
      <c r="F35" s="54" t="s">
        <v>363</v>
      </c>
    </row>
    <row r="36" customFormat="false" ht="15" hidden="false" customHeight="false" outlineLevel="0" collapsed="false">
      <c r="A36" s="54" t="s">
        <v>364</v>
      </c>
      <c r="B36" s="54" t="s">
        <v>364</v>
      </c>
      <c r="C36" s="54" t="s">
        <v>235</v>
      </c>
      <c r="D36" s="54" t="s">
        <v>288</v>
      </c>
      <c r="E36" s="54" t="s">
        <v>288</v>
      </c>
      <c r="F36" s="54" t="s">
        <v>365</v>
      </c>
    </row>
    <row r="37" customFormat="false" ht="15" hidden="false" customHeight="false" outlineLevel="0" collapsed="false">
      <c r="A37" s="54" t="s">
        <v>366</v>
      </c>
      <c r="B37" s="54" t="s">
        <v>367</v>
      </c>
      <c r="C37" s="54" t="s">
        <v>210</v>
      </c>
      <c r="D37" s="54" t="s">
        <v>282</v>
      </c>
      <c r="E37" s="54" t="s">
        <v>282</v>
      </c>
      <c r="F37" s="54" t="s">
        <v>368</v>
      </c>
    </row>
    <row r="38" customFormat="false" ht="15" hidden="false" customHeight="false" outlineLevel="0" collapsed="false">
      <c r="A38" s="54" t="s">
        <v>369</v>
      </c>
      <c r="B38" s="54" t="s">
        <v>370</v>
      </c>
      <c r="C38" s="54" t="s">
        <v>225</v>
      </c>
      <c r="D38" s="54" t="s">
        <v>282</v>
      </c>
      <c r="E38" s="54" t="s">
        <v>282</v>
      </c>
      <c r="F38" s="54" t="s">
        <v>371</v>
      </c>
    </row>
    <row r="39" customFormat="false" ht="15" hidden="false" customHeight="false" outlineLevel="0" collapsed="false">
      <c r="A39" s="54" t="s">
        <v>372</v>
      </c>
      <c r="B39" s="54" t="s">
        <v>372</v>
      </c>
      <c r="C39" s="54" t="s">
        <v>201</v>
      </c>
      <c r="D39" s="54" t="s">
        <v>282</v>
      </c>
      <c r="E39" s="54" t="s">
        <v>282</v>
      </c>
      <c r="F39" s="54" t="s">
        <v>373</v>
      </c>
    </row>
    <row r="40" customFormat="false" ht="15" hidden="false" customHeight="false" outlineLevel="0" collapsed="false">
      <c r="A40" s="54" t="s">
        <v>374</v>
      </c>
      <c r="B40" s="54" t="s">
        <v>374</v>
      </c>
      <c r="C40" s="54" t="s">
        <v>222</v>
      </c>
      <c r="D40" s="54" t="s">
        <v>282</v>
      </c>
      <c r="E40" s="54" t="s">
        <v>282</v>
      </c>
      <c r="F40" s="54" t="s">
        <v>375</v>
      </c>
    </row>
    <row r="41" customFormat="false" ht="15" hidden="false" customHeight="false" outlineLevel="0" collapsed="false">
      <c r="A41" s="54" t="s">
        <v>376</v>
      </c>
      <c r="B41" s="54" t="s">
        <v>376</v>
      </c>
      <c r="C41" s="54" t="s">
        <v>185</v>
      </c>
      <c r="D41" s="54" t="s">
        <v>282</v>
      </c>
      <c r="E41" s="54" t="s">
        <v>282</v>
      </c>
      <c r="F41" s="54" t="s">
        <v>377</v>
      </c>
    </row>
    <row r="42" customFormat="false" ht="15" hidden="false" customHeight="false" outlineLevel="0" collapsed="false">
      <c r="A42" s="54" t="s">
        <v>377</v>
      </c>
      <c r="B42" s="54" t="s">
        <v>377</v>
      </c>
      <c r="C42" s="54" t="s">
        <v>185</v>
      </c>
      <c r="D42" s="54" t="s">
        <v>282</v>
      </c>
      <c r="E42" s="54" t="s">
        <v>282</v>
      </c>
      <c r="F42" s="54" t="s">
        <v>376</v>
      </c>
    </row>
    <row r="43" customFormat="false" ht="15" hidden="false" customHeight="false" outlineLevel="0" collapsed="false">
      <c r="A43" s="54" t="s">
        <v>378</v>
      </c>
      <c r="B43" s="54" t="s">
        <v>379</v>
      </c>
      <c r="C43" s="54" t="s">
        <v>203</v>
      </c>
      <c r="D43" s="54" t="s">
        <v>282</v>
      </c>
      <c r="E43" s="54" t="s">
        <v>282</v>
      </c>
      <c r="F43" s="54"/>
    </row>
    <row r="44" customFormat="false" ht="15" hidden="false" customHeight="false" outlineLevel="0" collapsed="false">
      <c r="A44" s="54" t="s">
        <v>380</v>
      </c>
      <c r="B44" s="54" t="s">
        <v>381</v>
      </c>
      <c r="C44" s="54" t="s">
        <v>225</v>
      </c>
      <c r="D44" s="54" t="s">
        <v>282</v>
      </c>
      <c r="E44" s="54" t="s">
        <v>282</v>
      </c>
      <c r="F44" s="54" t="s">
        <v>382</v>
      </c>
    </row>
    <row r="45" customFormat="false" ht="15" hidden="false" customHeight="false" outlineLevel="0" collapsed="false">
      <c r="A45" s="54" t="s">
        <v>383</v>
      </c>
      <c r="B45" s="54" t="s">
        <v>384</v>
      </c>
      <c r="C45" s="54" t="s">
        <v>207</v>
      </c>
      <c r="D45" s="54" t="s">
        <v>294</v>
      </c>
      <c r="E45" s="54" t="s">
        <v>282</v>
      </c>
      <c r="F45" s="54" t="s">
        <v>385</v>
      </c>
    </row>
    <row r="46" customFormat="false" ht="15" hidden="false" customHeight="false" outlineLevel="0" collapsed="false">
      <c r="A46" s="54" t="s">
        <v>386</v>
      </c>
      <c r="B46" s="54" t="s">
        <v>386</v>
      </c>
      <c r="C46" s="54" t="s">
        <v>191</v>
      </c>
      <c r="D46" s="54" t="s">
        <v>282</v>
      </c>
      <c r="E46" s="54" t="s">
        <v>282</v>
      </c>
      <c r="F46" s="54" t="s">
        <v>387</v>
      </c>
    </row>
    <row r="47" customFormat="false" ht="15" hidden="false" customHeight="false" outlineLevel="0" collapsed="false">
      <c r="A47" s="54" t="s">
        <v>388</v>
      </c>
      <c r="B47" s="54" t="s">
        <v>388</v>
      </c>
      <c r="C47" s="54" t="s">
        <v>196</v>
      </c>
      <c r="D47" s="54" t="s">
        <v>288</v>
      </c>
      <c r="E47" s="54" t="s">
        <v>288</v>
      </c>
      <c r="F47" s="54" t="s">
        <v>389</v>
      </c>
    </row>
    <row r="48" customFormat="false" ht="15" hidden="false" customHeight="false" outlineLevel="0" collapsed="false">
      <c r="A48" s="54" t="s">
        <v>390</v>
      </c>
      <c r="B48" s="54" t="s">
        <v>391</v>
      </c>
      <c r="C48" s="54" t="s">
        <v>211</v>
      </c>
      <c r="D48" s="54" t="s">
        <v>288</v>
      </c>
      <c r="E48" s="54" t="s">
        <v>288</v>
      </c>
      <c r="F48" s="54" t="s">
        <v>392</v>
      </c>
    </row>
    <row r="49" customFormat="false" ht="15" hidden="false" customHeight="false" outlineLevel="0" collapsed="false">
      <c r="A49" s="54" t="s">
        <v>393</v>
      </c>
      <c r="B49" s="54" t="s">
        <v>393</v>
      </c>
      <c r="C49" s="54" t="s">
        <v>190</v>
      </c>
      <c r="D49" s="54" t="s">
        <v>288</v>
      </c>
      <c r="E49" s="54" t="s">
        <v>288</v>
      </c>
      <c r="F49" s="54" t="s">
        <v>394</v>
      </c>
    </row>
    <row r="50" customFormat="false" ht="15" hidden="false" customHeight="false" outlineLevel="0" collapsed="false">
      <c r="A50" s="54" t="s">
        <v>395</v>
      </c>
      <c r="B50" s="54" t="s">
        <v>395</v>
      </c>
      <c r="C50" s="54" t="s">
        <v>222</v>
      </c>
      <c r="D50" s="54" t="s">
        <v>282</v>
      </c>
      <c r="E50" s="54" t="s">
        <v>282</v>
      </c>
      <c r="F50" s="54" t="s">
        <v>396</v>
      </c>
    </row>
    <row r="51" customFormat="false" ht="15" hidden="false" customHeight="false" outlineLevel="0" collapsed="false">
      <c r="A51" s="54" t="s">
        <v>397</v>
      </c>
      <c r="B51" s="54" t="s">
        <v>397</v>
      </c>
      <c r="C51" s="54" t="s">
        <v>211</v>
      </c>
      <c r="D51" s="54" t="s">
        <v>288</v>
      </c>
      <c r="E51" s="54" t="s">
        <v>288</v>
      </c>
      <c r="F51" s="54" t="s">
        <v>398</v>
      </c>
    </row>
    <row r="52" customFormat="false" ht="15" hidden="false" customHeight="false" outlineLevel="0" collapsed="false">
      <c r="A52" s="54" t="s">
        <v>399</v>
      </c>
      <c r="B52" s="54" t="s">
        <v>400</v>
      </c>
      <c r="C52" s="54" t="s">
        <v>222</v>
      </c>
      <c r="D52" s="54" t="s">
        <v>282</v>
      </c>
      <c r="E52" s="54" t="s">
        <v>282</v>
      </c>
      <c r="F52" s="54" t="s">
        <v>401</v>
      </c>
    </row>
    <row r="53" customFormat="false" ht="15" hidden="false" customHeight="false" outlineLevel="0" collapsed="false">
      <c r="A53" s="54" t="s">
        <v>402</v>
      </c>
      <c r="B53" s="54" t="s">
        <v>402</v>
      </c>
      <c r="C53" s="54" t="s">
        <v>205</v>
      </c>
      <c r="D53" s="54" t="s">
        <v>288</v>
      </c>
      <c r="E53" s="54" t="s">
        <v>288</v>
      </c>
      <c r="F53" s="54" t="s">
        <v>403</v>
      </c>
    </row>
    <row r="54" customFormat="false" ht="15" hidden="false" customHeight="false" outlineLevel="0" collapsed="false">
      <c r="A54" s="54" t="s">
        <v>404</v>
      </c>
      <c r="B54" s="54" t="s">
        <v>404</v>
      </c>
      <c r="C54" s="54" t="s">
        <v>197</v>
      </c>
      <c r="D54" s="54" t="s">
        <v>294</v>
      </c>
      <c r="E54" s="54" t="s">
        <v>297</v>
      </c>
      <c r="F54" s="54" t="s">
        <v>405</v>
      </c>
    </row>
    <row r="55" customFormat="false" ht="15" hidden="false" customHeight="false" outlineLevel="0" collapsed="false">
      <c r="A55" s="54" t="s">
        <v>406</v>
      </c>
      <c r="B55" s="54" t="s">
        <v>406</v>
      </c>
      <c r="C55" s="54" t="s">
        <v>200</v>
      </c>
      <c r="D55" s="54" t="s">
        <v>282</v>
      </c>
      <c r="E55" s="54" t="s">
        <v>282</v>
      </c>
      <c r="F55" s="54" t="s">
        <v>407</v>
      </c>
    </row>
    <row r="56" customFormat="false" ht="15" hidden="false" customHeight="false" outlineLevel="0" collapsed="false">
      <c r="A56" s="54" t="s">
        <v>333</v>
      </c>
      <c r="B56" s="54" t="s">
        <v>408</v>
      </c>
      <c r="C56" s="54" t="s">
        <v>212</v>
      </c>
      <c r="D56" s="54" t="s">
        <v>282</v>
      </c>
      <c r="E56" s="54" t="s">
        <v>282</v>
      </c>
      <c r="F56" s="54" t="s">
        <v>331</v>
      </c>
    </row>
    <row r="57" customFormat="false" ht="15" hidden="false" customHeight="false" outlineLevel="0" collapsed="false">
      <c r="A57" s="54" t="s">
        <v>409</v>
      </c>
      <c r="B57" s="54" t="s">
        <v>410</v>
      </c>
      <c r="C57" s="54" t="s">
        <v>199</v>
      </c>
      <c r="D57" s="54" t="s">
        <v>282</v>
      </c>
      <c r="E57" s="54" t="s">
        <v>297</v>
      </c>
      <c r="F57" s="54" t="s">
        <v>411</v>
      </c>
    </row>
    <row r="58" customFormat="false" ht="15" hidden="false" customHeight="false" outlineLevel="0" collapsed="false">
      <c r="A58" s="54" t="s">
        <v>412</v>
      </c>
      <c r="B58" s="54" t="s">
        <v>410</v>
      </c>
      <c r="C58" s="54" t="s">
        <v>214</v>
      </c>
      <c r="D58" s="54" t="s">
        <v>282</v>
      </c>
      <c r="E58" s="54" t="s">
        <v>297</v>
      </c>
      <c r="F58" s="54" t="s">
        <v>413</v>
      </c>
    </row>
    <row r="59" customFormat="false" ht="15" hidden="false" customHeight="false" outlineLevel="0" collapsed="false">
      <c r="A59" s="54" t="s">
        <v>414</v>
      </c>
      <c r="B59" s="54" t="s">
        <v>415</v>
      </c>
      <c r="C59" s="54" t="s">
        <v>197</v>
      </c>
      <c r="D59" s="54" t="s">
        <v>282</v>
      </c>
      <c r="E59" s="54" t="s">
        <v>297</v>
      </c>
      <c r="F59" s="54" t="s">
        <v>416</v>
      </c>
    </row>
    <row r="60" customFormat="false" ht="15" hidden="false" customHeight="false" outlineLevel="0" collapsed="false">
      <c r="A60" s="54" t="s">
        <v>417</v>
      </c>
      <c r="B60" s="54" t="s">
        <v>418</v>
      </c>
      <c r="C60" s="54" t="s">
        <v>234</v>
      </c>
      <c r="D60" s="54" t="s">
        <v>294</v>
      </c>
      <c r="E60" s="54" t="s">
        <v>282</v>
      </c>
      <c r="F60" s="54" t="s">
        <v>419</v>
      </c>
    </row>
    <row r="61" customFormat="false" ht="15" hidden="false" customHeight="false" outlineLevel="0" collapsed="false">
      <c r="A61" s="54" t="s">
        <v>419</v>
      </c>
      <c r="B61" s="54" t="s">
        <v>420</v>
      </c>
      <c r="C61" s="54" t="s">
        <v>234</v>
      </c>
      <c r="D61" s="54" t="s">
        <v>282</v>
      </c>
      <c r="E61" s="54" t="s">
        <v>282</v>
      </c>
      <c r="F61" s="54" t="s">
        <v>417</v>
      </c>
    </row>
    <row r="62" customFormat="false" ht="15" hidden="false" customHeight="false" outlineLevel="0" collapsed="false">
      <c r="A62" s="54" t="s">
        <v>421</v>
      </c>
      <c r="B62" s="54" t="s">
        <v>421</v>
      </c>
      <c r="C62" s="54" t="s">
        <v>228</v>
      </c>
      <c r="D62" s="54" t="s">
        <v>288</v>
      </c>
      <c r="E62" s="54" t="s">
        <v>288</v>
      </c>
      <c r="F62" s="54"/>
    </row>
    <row r="63" customFormat="false" ht="15" hidden="false" customHeight="false" outlineLevel="0" collapsed="false">
      <c r="A63" s="54" t="s">
        <v>422</v>
      </c>
      <c r="B63" s="54" t="s">
        <v>423</v>
      </c>
      <c r="C63" s="54" t="s">
        <v>226</v>
      </c>
      <c r="D63" s="54" t="s">
        <v>294</v>
      </c>
      <c r="E63" s="54" t="s">
        <v>294</v>
      </c>
      <c r="F63" s="54" t="s">
        <v>424</v>
      </c>
    </row>
    <row r="64" customFormat="false" ht="15" hidden="false" customHeight="false" outlineLevel="0" collapsed="false">
      <c r="A64" s="54" t="s">
        <v>425</v>
      </c>
      <c r="B64" s="54" t="s">
        <v>426</v>
      </c>
      <c r="C64" s="54" t="s">
        <v>222</v>
      </c>
      <c r="D64" s="54" t="s">
        <v>282</v>
      </c>
      <c r="E64" s="54" t="s">
        <v>282</v>
      </c>
      <c r="F64" s="54" t="s">
        <v>427</v>
      </c>
    </row>
    <row r="65" customFormat="false" ht="15" hidden="false" customHeight="false" outlineLevel="0" collapsed="false">
      <c r="A65" s="54" t="s">
        <v>338</v>
      </c>
      <c r="B65" s="54" t="s">
        <v>338</v>
      </c>
      <c r="C65" s="54" t="s">
        <v>192</v>
      </c>
      <c r="D65" s="54" t="s">
        <v>282</v>
      </c>
      <c r="E65" s="54" t="s">
        <v>282</v>
      </c>
      <c r="F65" s="54" t="s">
        <v>337</v>
      </c>
    </row>
    <row r="66" customFormat="false" ht="15" hidden="false" customHeight="false" outlineLevel="0" collapsed="false">
      <c r="A66" s="54" t="s">
        <v>428</v>
      </c>
      <c r="B66" s="54" t="s">
        <v>429</v>
      </c>
      <c r="C66" s="54" t="s">
        <v>218</v>
      </c>
      <c r="D66" s="54" t="s">
        <v>282</v>
      </c>
      <c r="E66" s="54" t="s">
        <v>282</v>
      </c>
      <c r="F66" s="54"/>
    </row>
    <row r="67" customFormat="false" ht="15" hidden="false" customHeight="false" outlineLevel="0" collapsed="false">
      <c r="A67" s="54" t="s">
        <v>430</v>
      </c>
      <c r="B67" s="54" t="s">
        <v>431</v>
      </c>
      <c r="C67" s="54" t="s">
        <v>193</v>
      </c>
      <c r="D67" s="54" t="s">
        <v>282</v>
      </c>
      <c r="E67" s="54" t="s">
        <v>297</v>
      </c>
      <c r="F67" s="54" t="s">
        <v>432</v>
      </c>
    </row>
    <row r="68" customFormat="false" ht="15" hidden="false" customHeight="false" outlineLevel="0" collapsed="false">
      <c r="A68" s="54" t="s">
        <v>433</v>
      </c>
      <c r="B68" s="54" t="s">
        <v>433</v>
      </c>
      <c r="C68" s="54" t="s">
        <v>198</v>
      </c>
      <c r="D68" s="54" t="s">
        <v>288</v>
      </c>
      <c r="E68" s="54" t="s">
        <v>288</v>
      </c>
      <c r="F68" s="54" t="s">
        <v>434</v>
      </c>
    </row>
    <row r="69" customFormat="false" ht="15" hidden="false" customHeight="false" outlineLevel="0" collapsed="false">
      <c r="A69" s="54" t="s">
        <v>435</v>
      </c>
      <c r="B69" s="54" t="s">
        <v>436</v>
      </c>
      <c r="C69" s="54" t="s">
        <v>208</v>
      </c>
      <c r="D69" s="54" t="s">
        <v>288</v>
      </c>
      <c r="E69" s="54" t="s">
        <v>288</v>
      </c>
      <c r="F69" s="54" t="s">
        <v>437</v>
      </c>
    </row>
    <row r="70" customFormat="false" ht="15" hidden="false" customHeight="false" outlineLevel="0" collapsed="false">
      <c r="A70" s="54" t="s">
        <v>407</v>
      </c>
      <c r="B70" s="54" t="s">
        <v>438</v>
      </c>
      <c r="C70" s="54" t="s">
        <v>200</v>
      </c>
      <c r="D70" s="54" t="s">
        <v>282</v>
      </c>
      <c r="E70" s="54" t="s">
        <v>282</v>
      </c>
      <c r="F70" s="54" t="s">
        <v>406</v>
      </c>
    </row>
    <row r="71" customFormat="false" ht="15" hidden="false" customHeight="false" outlineLevel="0" collapsed="false">
      <c r="A71" s="54" t="s">
        <v>439</v>
      </c>
      <c r="B71" s="54" t="s">
        <v>439</v>
      </c>
      <c r="C71" s="54" t="s">
        <v>199</v>
      </c>
      <c r="D71" s="54" t="s">
        <v>282</v>
      </c>
      <c r="E71" s="54" t="s">
        <v>297</v>
      </c>
      <c r="F71" s="54" t="s">
        <v>440</v>
      </c>
    </row>
    <row r="72" customFormat="false" ht="15" hidden="false" customHeight="false" outlineLevel="0" collapsed="false">
      <c r="A72" s="54" t="s">
        <v>434</v>
      </c>
      <c r="B72" s="54" t="s">
        <v>434</v>
      </c>
      <c r="C72" s="54" t="s">
        <v>198</v>
      </c>
      <c r="D72" s="54" t="s">
        <v>288</v>
      </c>
      <c r="E72" s="54" t="s">
        <v>288</v>
      </c>
      <c r="F72" s="54" t="s">
        <v>433</v>
      </c>
    </row>
    <row r="73" customFormat="false" ht="15" hidden="false" customHeight="false" outlineLevel="0" collapsed="false">
      <c r="A73" s="54" t="s">
        <v>441</v>
      </c>
      <c r="B73" s="54" t="s">
        <v>442</v>
      </c>
      <c r="C73" s="54" t="s">
        <v>214</v>
      </c>
      <c r="D73" s="54" t="s">
        <v>282</v>
      </c>
      <c r="E73" s="54" t="s">
        <v>282</v>
      </c>
      <c r="F73" s="54" t="s">
        <v>443</v>
      </c>
    </row>
    <row r="74" customFormat="false" ht="15" hidden="false" customHeight="false" outlineLevel="0" collapsed="false">
      <c r="A74" s="54" t="s">
        <v>444</v>
      </c>
      <c r="B74" s="54" t="s">
        <v>445</v>
      </c>
      <c r="C74" s="54" t="s">
        <v>206</v>
      </c>
      <c r="D74" s="54" t="s">
        <v>288</v>
      </c>
      <c r="E74" s="54" t="s">
        <v>288</v>
      </c>
      <c r="F74" s="54" t="s">
        <v>446</v>
      </c>
    </row>
    <row r="75" customFormat="false" ht="15" hidden="false" customHeight="false" outlineLevel="0" collapsed="false">
      <c r="A75" s="54" t="s">
        <v>447</v>
      </c>
      <c r="B75" s="54" t="s">
        <v>448</v>
      </c>
      <c r="C75" s="54" t="s">
        <v>189</v>
      </c>
      <c r="D75" s="54" t="s">
        <v>282</v>
      </c>
      <c r="E75" s="54" t="s">
        <v>282</v>
      </c>
      <c r="F75" s="54"/>
    </row>
    <row r="76" customFormat="false" ht="15" hidden="false" customHeight="false" outlineLevel="0" collapsed="false">
      <c r="A76" s="54" t="s">
        <v>449</v>
      </c>
      <c r="B76" s="54" t="s">
        <v>311</v>
      </c>
      <c r="C76" s="54" t="s">
        <v>214</v>
      </c>
      <c r="D76" s="54" t="s">
        <v>282</v>
      </c>
      <c r="E76" s="54" t="s">
        <v>282</v>
      </c>
      <c r="F76" s="54" t="s">
        <v>450</v>
      </c>
    </row>
    <row r="77" customFormat="false" ht="15" hidden="false" customHeight="false" outlineLevel="0" collapsed="false">
      <c r="A77" s="54" t="s">
        <v>451</v>
      </c>
      <c r="B77" s="54" t="s">
        <v>311</v>
      </c>
      <c r="C77" s="54" t="s">
        <v>243</v>
      </c>
      <c r="D77" s="54" t="s">
        <v>282</v>
      </c>
      <c r="E77" s="54" t="s">
        <v>282</v>
      </c>
      <c r="F77" s="54"/>
    </row>
    <row r="78" customFormat="false" ht="15" hidden="false" customHeight="false" outlineLevel="0" collapsed="false">
      <c r="A78" s="54" t="s">
        <v>452</v>
      </c>
      <c r="B78" s="54" t="s">
        <v>452</v>
      </c>
      <c r="C78" s="54" t="s">
        <v>215</v>
      </c>
      <c r="D78" s="54" t="s">
        <v>282</v>
      </c>
      <c r="E78" s="54" t="s">
        <v>282</v>
      </c>
      <c r="F78" s="54" t="s">
        <v>453</v>
      </c>
    </row>
    <row r="79" customFormat="false" ht="15" hidden="false" customHeight="false" outlineLevel="0" collapsed="false">
      <c r="A79" s="54" t="s">
        <v>283</v>
      </c>
      <c r="B79" s="54" t="s">
        <v>454</v>
      </c>
      <c r="C79" s="54" t="s">
        <v>224</v>
      </c>
      <c r="D79" s="54" t="s">
        <v>282</v>
      </c>
      <c r="E79" s="54" t="s">
        <v>297</v>
      </c>
      <c r="F79" s="54" t="s">
        <v>280</v>
      </c>
    </row>
    <row r="80" customFormat="false" ht="15" hidden="false" customHeight="false" outlineLevel="0" collapsed="false">
      <c r="A80" s="54" t="s">
        <v>455</v>
      </c>
      <c r="B80" s="54" t="s">
        <v>456</v>
      </c>
      <c r="C80" s="54" t="s">
        <v>233</v>
      </c>
      <c r="D80" s="54" t="s">
        <v>282</v>
      </c>
      <c r="E80" s="54" t="s">
        <v>282</v>
      </c>
      <c r="F80" s="54"/>
    </row>
    <row r="81" customFormat="false" ht="15" hidden="false" customHeight="false" outlineLevel="0" collapsed="false">
      <c r="A81" s="54" t="s">
        <v>457</v>
      </c>
      <c r="B81" s="54" t="s">
        <v>457</v>
      </c>
      <c r="C81" s="54" t="s">
        <v>222</v>
      </c>
      <c r="D81" s="54" t="s">
        <v>282</v>
      </c>
      <c r="E81" s="54" t="s">
        <v>282</v>
      </c>
      <c r="F81" s="54" t="s">
        <v>458</v>
      </c>
    </row>
    <row r="82" customFormat="false" ht="15" hidden="false" customHeight="false" outlineLevel="0" collapsed="false">
      <c r="A82" s="54" t="s">
        <v>459</v>
      </c>
      <c r="B82" s="54" t="s">
        <v>460</v>
      </c>
      <c r="C82" s="54" t="s">
        <v>221</v>
      </c>
      <c r="D82" s="54" t="s">
        <v>288</v>
      </c>
      <c r="E82" s="54" t="s">
        <v>288</v>
      </c>
      <c r="F82" s="54" t="s">
        <v>461</v>
      </c>
    </row>
    <row r="83" customFormat="false" ht="15" hidden="false" customHeight="false" outlineLevel="0" collapsed="false">
      <c r="A83" s="54" t="s">
        <v>424</v>
      </c>
      <c r="B83" s="54" t="s">
        <v>418</v>
      </c>
      <c r="C83" s="54" t="s">
        <v>226</v>
      </c>
      <c r="D83" s="54" t="s">
        <v>462</v>
      </c>
      <c r="E83" s="54" t="s">
        <v>418</v>
      </c>
      <c r="F83" s="54" t="s">
        <v>422</v>
      </c>
    </row>
    <row r="84" customFormat="false" ht="15" hidden="false" customHeight="false" outlineLevel="0" collapsed="false">
      <c r="A84" s="54" t="s">
        <v>463</v>
      </c>
      <c r="B84" s="54" t="s">
        <v>418</v>
      </c>
      <c r="C84" s="54" t="s">
        <v>226</v>
      </c>
      <c r="D84" s="54" t="s">
        <v>462</v>
      </c>
      <c r="E84" s="54" t="s">
        <v>418</v>
      </c>
      <c r="F84" s="54" t="s">
        <v>464</v>
      </c>
    </row>
    <row r="85" customFormat="false" ht="15" hidden="false" customHeight="false" outlineLevel="0" collapsed="false">
      <c r="A85" s="54" t="s">
        <v>465</v>
      </c>
      <c r="B85" s="54" t="s">
        <v>418</v>
      </c>
      <c r="C85" s="54" t="s">
        <v>210</v>
      </c>
      <c r="D85" s="54" t="s">
        <v>462</v>
      </c>
      <c r="E85" s="54" t="s">
        <v>418</v>
      </c>
      <c r="F85" s="54" t="s">
        <v>466</v>
      </c>
    </row>
    <row r="86" customFormat="false" ht="15" hidden="false" customHeight="false" outlineLevel="0" collapsed="false">
      <c r="A86" s="54" t="s">
        <v>467</v>
      </c>
      <c r="B86" s="54" t="s">
        <v>418</v>
      </c>
      <c r="C86" s="54" t="s">
        <v>193</v>
      </c>
      <c r="D86" s="54" t="s">
        <v>462</v>
      </c>
      <c r="E86" s="54" t="s">
        <v>418</v>
      </c>
      <c r="F86" s="54" t="s">
        <v>468</v>
      </c>
    </row>
    <row r="87" customFormat="false" ht="15" hidden="false" customHeight="false" outlineLevel="0" collapsed="false">
      <c r="A87" s="54" t="s">
        <v>147</v>
      </c>
      <c r="B87" s="54" t="s">
        <v>418</v>
      </c>
      <c r="C87" s="54" t="s">
        <v>215</v>
      </c>
      <c r="D87" s="54" t="s">
        <v>462</v>
      </c>
      <c r="E87" s="54" t="s">
        <v>418</v>
      </c>
      <c r="F87" s="54" t="s">
        <v>469</v>
      </c>
    </row>
    <row r="88" customFormat="false" ht="15" hidden="false" customHeight="false" outlineLevel="0" collapsed="false">
      <c r="A88" s="54" t="s">
        <v>470</v>
      </c>
      <c r="B88" s="54" t="s">
        <v>418</v>
      </c>
      <c r="C88" s="54" t="s">
        <v>191</v>
      </c>
      <c r="D88" s="54" t="s">
        <v>462</v>
      </c>
      <c r="E88" s="54" t="s">
        <v>418</v>
      </c>
      <c r="F88" s="54" t="s">
        <v>471</v>
      </c>
    </row>
    <row r="89" customFormat="false" ht="15" hidden="false" customHeight="false" outlineLevel="0" collapsed="false">
      <c r="A89" s="54" t="s">
        <v>472</v>
      </c>
      <c r="B89" s="54" t="s">
        <v>418</v>
      </c>
      <c r="C89" s="54" t="s">
        <v>236</v>
      </c>
      <c r="D89" s="54" t="s">
        <v>462</v>
      </c>
      <c r="E89" s="54" t="s">
        <v>418</v>
      </c>
      <c r="F89" s="54" t="s">
        <v>473</v>
      </c>
    </row>
    <row r="90" customFormat="false" ht="15" hidden="false" customHeight="false" outlineLevel="0" collapsed="false">
      <c r="A90" s="54" t="s">
        <v>474</v>
      </c>
      <c r="B90" s="54" t="s">
        <v>475</v>
      </c>
      <c r="C90" s="54" t="s">
        <v>209</v>
      </c>
      <c r="D90" s="54" t="s">
        <v>282</v>
      </c>
      <c r="E90" s="54" t="s">
        <v>282</v>
      </c>
      <c r="F90" s="54" t="s">
        <v>476</v>
      </c>
    </row>
    <row r="91" customFormat="false" ht="15" hidden="false" customHeight="false" outlineLevel="0" collapsed="false">
      <c r="A91" s="54" t="s">
        <v>477</v>
      </c>
      <c r="B91" s="54" t="s">
        <v>477</v>
      </c>
      <c r="C91" s="54" t="s">
        <v>241</v>
      </c>
      <c r="D91" s="54" t="s">
        <v>282</v>
      </c>
      <c r="E91" s="54" t="s">
        <v>282</v>
      </c>
      <c r="F91" s="54"/>
    </row>
    <row r="92" customFormat="false" ht="15" hidden="false" customHeight="false" outlineLevel="0" collapsed="false">
      <c r="A92" s="54" t="s">
        <v>478</v>
      </c>
      <c r="B92" s="54" t="s">
        <v>479</v>
      </c>
      <c r="C92" s="54" t="s">
        <v>242</v>
      </c>
      <c r="D92" s="54" t="s">
        <v>288</v>
      </c>
      <c r="E92" s="54" t="s">
        <v>288</v>
      </c>
      <c r="F92" s="54" t="s">
        <v>480</v>
      </c>
    </row>
    <row r="93" customFormat="false" ht="15" hidden="false" customHeight="false" outlineLevel="0" collapsed="false">
      <c r="A93" s="54" t="s">
        <v>481</v>
      </c>
      <c r="B93" s="54" t="s">
        <v>482</v>
      </c>
      <c r="C93" s="54" t="s">
        <v>204</v>
      </c>
      <c r="D93" s="54" t="s">
        <v>282</v>
      </c>
      <c r="E93" s="54" t="s">
        <v>282</v>
      </c>
      <c r="F93" s="54" t="s">
        <v>483</v>
      </c>
    </row>
    <row r="94" customFormat="false" ht="15" hidden="false" customHeight="false" outlineLevel="0" collapsed="false">
      <c r="A94" s="54" t="s">
        <v>484</v>
      </c>
      <c r="B94" s="54" t="s">
        <v>485</v>
      </c>
      <c r="C94" s="54" t="s">
        <v>190</v>
      </c>
      <c r="D94" s="54" t="s">
        <v>288</v>
      </c>
      <c r="E94" s="54" t="s">
        <v>288</v>
      </c>
      <c r="F94" s="54" t="s">
        <v>486</v>
      </c>
    </row>
    <row r="95" customFormat="false" ht="15" hidden="false" customHeight="false" outlineLevel="0" collapsed="false">
      <c r="A95" s="54" t="s">
        <v>487</v>
      </c>
      <c r="B95" s="54" t="s">
        <v>488</v>
      </c>
      <c r="C95" s="54" t="s">
        <v>204</v>
      </c>
      <c r="D95" s="54" t="s">
        <v>282</v>
      </c>
      <c r="E95" s="54" t="s">
        <v>282</v>
      </c>
      <c r="F95" s="54" t="s">
        <v>489</v>
      </c>
    </row>
    <row r="96" customFormat="false" ht="15" hidden="false" customHeight="false" outlineLevel="0" collapsed="false">
      <c r="A96" s="54" t="s">
        <v>490</v>
      </c>
      <c r="B96" s="54" t="s">
        <v>491</v>
      </c>
      <c r="C96" s="54" t="s">
        <v>239</v>
      </c>
      <c r="D96" s="54" t="s">
        <v>288</v>
      </c>
      <c r="E96" s="54" t="s">
        <v>288</v>
      </c>
      <c r="F96" s="54" t="s">
        <v>492</v>
      </c>
    </row>
    <row r="97" customFormat="false" ht="15" hidden="false" customHeight="false" outlineLevel="0" collapsed="false">
      <c r="A97" s="54" t="s">
        <v>493</v>
      </c>
      <c r="B97" s="54" t="s">
        <v>494</v>
      </c>
      <c r="C97" s="54" t="s">
        <v>229</v>
      </c>
      <c r="D97" s="54" t="s">
        <v>282</v>
      </c>
      <c r="E97" s="54" t="s">
        <v>282</v>
      </c>
      <c r="F97" s="54" t="s">
        <v>495</v>
      </c>
    </row>
    <row r="98" customFormat="false" ht="15" hidden="false" customHeight="false" outlineLevel="0" collapsed="false">
      <c r="A98" s="54" t="s">
        <v>496</v>
      </c>
      <c r="B98" s="54" t="s">
        <v>496</v>
      </c>
      <c r="C98" s="54" t="s">
        <v>222</v>
      </c>
      <c r="D98" s="54" t="s">
        <v>282</v>
      </c>
      <c r="E98" s="54" t="s">
        <v>282</v>
      </c>
      <c r="F98" s="54" t="s">
        <v>458</v>
      </c>
    </row>
    <row r="99" customFormat="false" ht="15" hidden="false" customHeight="false" outlineLevel="0" collapsed="false">
      <c r="A99" s="54" t="s">
        <v>497</v>
      </c>
      <c r="B99" s="54" t="s">
        <v>498</v>
      </c>
      <c r="C99" s="54" t="s">
        <v>197</v>
      </c>
      <c r="D99" s="54" t="s">
        <v>282</v>
      </c>
      <c r="E99" s="54" t="s">
        <v>282</v>
      </c>
      <c r="F99" s="54" t="s">
        <v>499</v>
      </c>
    </row>
    <row r="100" customFormat="false" ht="15" hidden="false" customHeight="false" outlineLevel="0" collapsed="false">
      <c r="A100" s="54" t="s">
        <v>446</v>
      </c>
      <c r="B100" s="54" t="s">
        <v>446</v>
      </c>
      <c r="C100" s="54" t="s">
        <v>206</v>
      </c>
      <c r="D100" s="54" t="s">
        <v>288</v>
      </c>
      <c r="E100" s="54" t="s">
        <v>288</v>
      </c>
      <c r="F100" s="54" t="s">
        <v>444</v>
      </c>
    </row>
    <row r="101" customFormat="false" ht="15" hidden="false" customHeight="false" outlineLevel="0" collapsed="false">
      <c r="A101" s="54" t="s">
        <v>312</v>
      </c>
      <c r="B101" s="54" t="s">
        <v>500</v>
      </c>
      <c r="C101" s="54" t="s">
        <v>219</v>
      </c>
      <c r="D101" s="54" t="s">
        <v>282</v>
      </c>
      <c r="E101" s="54" t="s">
        <v>297</v>
      </c>
      <c r="F101" s="54" t="s">
        <v>310</v>
      </c>
    </row>
    <row r="102" customFormat="false" ht="15" hidden="false" customHeight="false" outlineLevel="0" collapsed="false">
      <c r="A102" s="54" t="s">
        <v>131</v>
      </c>
      <c r="B102" s="54" t="s">
        <v>501</v>
      </c>
      <c r="C102" s="54" t="s">
        <v>215</v>
      </c>
      <c r="D102" s="54" t="s">
        <v>282</v>
      </c>
      <c r="E102" s="54" t="s">
        <v>297</v>
      </c>
      <c r="F102" s="54" t="s">
        <v>502</v>
      </c>
    </row>
    <row r="103" customFormat="false" ht="15" hidden="false" customHeight="false" outlineLevel="0" collapsed="false">
      <c r="A103" s="54" t="s">
        <v>503</v>
      </c>
      <c r="B103" s="54" t="s">
        <v>504</v>
      </c>
      <c r="C103" s="54" t="s">
        <v>239</v>
      </c>
      <c r="D103" s="54" t="s">
        <v>288</v>
      </c>
      <c r="E103" s="54" t="s">
        <v>288</v>
      </c>
      <c r="F103" s="54" t="s">
        <v>505</v>
      </c>
    </row>
    <row r="104" customFormat="false" ht="15" hidden="false" customHeight="false" outlineLevel="0" collapsed="false">
      <c r="A104" s="54" t="s">
        <v>506</v>
      </c>
      <c r="B104" s="54" t="s">
        <v>506</v>
      </c>
      <c r="C104" s="54" t="s">
        <v>221</v>
      </c>
      <c r="D104" s="54" t="s">
        <v>288</v>
      </c>
      <c r="E104" s="54" t="s">
        <v>288</v>
      </c>
      <c r="F104" s="54" t="s">
        <v>507</v>
      </c>
    </row>
    <row r="105" customFormat="false" ht="15" hidden="false" customHeight="false" outlineLevel="0" collapsed="false">
      <c r="A105" s="54" t="s">
        <v>508</v>
      </c>
      <c r="B105" s="54" t="s">
        <v>509</v>
      </c>
      <c r="C105" s="54" t="s">
        <v>208</v>
      </c>
      <c r="D105" s="54" t="s">
        <v>288</v>
      </c>
      <c r="E105" s="54" t="s">
        <v>288</v>
      </c>
      <c r="F105" s="54" t="s">
        <v>510</v>
      </c>
    </row>
    <row r="106" customFormat="false" ht="15" hidden="false" customHeight="false" outlineLevel="0" collapsed="false">
      <c r="A106" s="54" t="s">
        <v>511</v>
      </c>
      <c r="B106" s="54" t="s">
        <v>511</v>
      </c>
      <c r="C106" s="54" t="s">
        <v>194</v>
      </c>
      <c r="D106" s="54" t="s">
        <v>282</v>
      </c>
      <c r="E106" s="54" t="s">
        <v>282</v>
      </c>
      <c r="F106" s="54" t="s">
        <v>512</v>
      </c>
    </row>
    <row r="107" customFormat="false" ht="15" hidden="false" customHeight="false" outlineLevel="0" collapsed="false">
      <c r="A107" s="54" t="s">
        <v>513</v>
      </c>
      <c r="B107" s="54" t="s">
        <v>513</v>
      </c>
      <c r="C107" s="54" t="s">
        <v>231</v>
      </c>
      <c r="D107" s="54" t="s">
        <v>288</v>
      </c>
      <c r="E107" s="54" t="s">
        <v>288</v>
      </c>
      <c r="F107" s="54"/>
    </row>
    <row r="108" customFormat="false" ht="15" hidden="false" customHeight="false" outlineLevel="0" collapsed="false">
      <c r="A108" s="54" t="s">
        <v>514</v>
      </c>
      <c r="B108" s="54" t="s">
        <v>514</v>
      </c>
      <c r="C108" s="54" t="s">
        <v>217</v>
      </c>
      <c r="D108" s="54" t="s">
        <v>282</v>
      </c>
      <c r="E108" s="54" t="s">
        <v>282</v>
      </c>
      <c r="F108" s="54"/>
    </row>
    <row r="109" customFormat="false" ht="15" hidden="false" customHeight="false" outlineLevel="0" collapsed="false">
      <c r="A109" s="54" t="s">
        <v>515</v>
      </c>
      <c r="B109" s="54" t="s">
        <v>516</v>
      </c>
      <c r="C109" s="54" t="s">
        <v>210</v>
      </c>
      <c r="D109" s="54" t="s">
        <v>294</v>
      </c>
      <c r="E109" s="54" t="s">
        <v>294</v>
      </c>
      <c r="F109" s="54" t="s">
        <v>517</v>
      </c>
    </row>
    <row r="110" customFormat="false" ht="15" hidden="false" customHeight="false" outlineLevel="0" collapsed="false">
      <c r="A110" s="54" t="s">
        <v>518</v>
      </c>
      <c r="B110" s="54" t="s">
        <v>516</v>
      </c>
      <c r="C110" s="54" t="s">
        <v>229</v>
      </c>
      <c r="D110" s="54" t="s">
        <v>282</v>
      </c>
      <c r="E110" s="54" t="s">
        <v>282</v>
      </c>
      <c r="F110" s="54" t="s">
        <v>519</v>
      </c>
    </row>
    <row r="111" customFormat="false" ht="15" hidden="false" customHeight="false" outlineLevel="0" collapsed="false">
      <c r="A111" s="54" t="s">
        <v>520</v>
      </c>
      <c r="B111" s="54" t="s">
        <v>520</v>
      </c>
      <c r="C111" s="54" t="s">
        <v>215</v>
      </c>
      <c r="D111" s="54" t="s">
        <v>282</v>
      </c>
      <c r="E111" s="54" t="s">
        <v>294</v>
      </c>
      <c r="F111" s="54" t="s">
        <v>521</v>
      </c>
    </row>
    <row r="112" customFormat="false" ht="15" hidden="false" customHeight="false" outlineLevel="0" collapsed="false">
      <c r="A112" s="54" t="s">
        <v>522</v>
      </c>
      <c r="B112" s="54" t="s">
        <v>522</v>
      </c>
      <c r="C112" s="54" t="s">
        <v>193</v>
      </c>
      <c r="D112" s="54" t="s">
        <v>294</v>
      </c>
      <c r="E112" s="54" t="s">
        <v>294</v>
      </c>
      <c r="F112" s="54" t="s">
        <v>523</v>
      </c>
    </row>
    <row r="113" customFormat="false" ht="15" hidden="false" customHeight="false" outlineLevel="0" collapsed="false">
      <c r="A113" s="54" t="s">
        <v>524</v>
      </c>
      <c r="B113" s="54" t="s">
        <v>524</v>
      </c>
      <c r="C113" s="54" t="s">
        <v>186</v>
      </c>
      <c r="D113" s="54" t="s">
        <v>282</v>
      </c>
      <c r="E113" s="54" t="s">
        <v>297</v>
      </c>
      <c r="F113" s="54"/>
    </row>
    <row r="114" customFormat="false" ht="15" hidden="false" customHeight="false" outlineLevel="0" collapsed="false">
      <c r="A114" s="54" t="s">
        <v>525</v>
      </c>
      <c r="B114" s="54" t="s">
        <v>516</v>
      </c>
      <c r="C114" s="54" t="s">
        <v>194</v>
      </c>
      <c r="D114" s="54" t="s">
        <v>282</v>
      </c>
      <c r="E114" s="54" t="s">
        <v>282</v>
      </c>
      <c r="F114" s="54" t="s">
        <v>526</v>
      </c>
    </row>
    <row r="115" customFormat="false" ht="15" hidden="false" customHeight="false" outlineLevel="0" collapsed="false">
      <c r="A115" s="54" t="s">
        <v>527</v>
      </c>
      <c r="B115" s="54" t="s">
        <v>528</v>
      </c>
      <c r="C115" s="54" t="s">
        <v>209</v>
      </c>
      <c r="D115" s="54" t="s">
        <v>282</v>
      </c>
      <c r="E115" s="54" t="s">
        <v>282</v>
      </c>
      <c r="F115" s="54" t="s">
        <v>529</v>
      </c>
    </row>
    <row r="116" customFormat="false" ht="15" hidden="false" customHeight="false" outlineLevel="0" collapsed="false">
      <c r="A116" s="54" t="s">
        <v>530</v>
      </c>
      <c r="B116" s="54" t="s">
        <v>531</v>
      </c>
      <c r="C116" s="54" t="s">
        <v>191</v>
      </c>
      <c r="D116" s="54" t="s">
        <v>282</v>
      </c>
      <c r="E116" s="54" t="s">
        <v>282</v>
      </c>
      <c r="F116" s="54" t="s">
        <v>532</v>
      </c>
    </row>
    <row r="117" customFormat="false" ht="15" hidden="false" customHeight="false" outlineLevel="0" collapsed="false">
      <c r="A117" s="54" t="s">
        <v>533</v>
      </c>
      <c r="B117" s="54" t="s">
        <v>534</v>
      </c>
      <c r="C117" s="54" t="s">
        <v>240</v>
      </c>
      <c r="D117" s="54" t="s">
        <v>282</v>
      </c>
      <c r="E117" s="54" t="s">
        <v>282</v>
      </c>
      <c r="F117" s="54" t="s">
        <v>535</v>
      </c>
    </row>
    <row r="118" customFormat="false" ht="15" hidden="false" customHeight="false" outlineLevel="0" collapsed="false">
      <c r="A118" s="54" t="s">
        <v>536</v>
      </c>
      <c r="B118" s="54" t="s">
        <v>537</v>
      </c>
      <c r="C118" s="54" t="s">
        <v>240</v>
      </c>
      <c r="D118" s="54" t="s">
        <v>282</v>
      </c>
      <c r="E118" s="54" t="s">
        <v>282</v>
      </c>
      <c r="F118" s="54" t="s">
        <v>538</v>
      </c>
    </row>
    <row r="119" customFormat="false" ht="15" hidden="false" customHeight="false" outlineLevel="0" collapsed="false">
      <c r="A119" s="54" t="s">
        <v>539</v>
      </c>
      <c r="B119" s="54" t="s">
        <v>540</v>
      </c>
      <c r="C119" s="54" t="s">
        <v>204</v>
      </c>
      <c r="D119" s="54" t="s">
        <v>282</v>
      </c>
      <c r="E119" s="54" t="s">
        <v>282</v>
      </c>
      <c r="F119" s="54" t="s">
        <v>541</v>
      </c>
    </row>
    <row r="120" customFormat="false" ht="15" hidden="false" customHeight="false" outlineLevel="0" collapsed="false">
      <c r="A120" s="54" t="s">
        <v>542</v>
      </c>
      <c r="B120" s="54" t="s">
        <v>543</v>
      </c>
      <c r="C120" s="54" t="s">
        <v>237</v>
      </c>
      <c r="D120" s="54" t="s">
        <v>282</v>
      </c>
      <c r="E120" s="54" t="s">
        <v>297</v>
      </c>
      <c r="F120" s="54"/>
    </row>
    <row r="121" customFormat="false" ht="15" hidden="false" customHeight="false" outlineLevel="0" collapsed="false">
      <c r="A121" s="54" t="s">
        <v>544</v>
      </c>
      <c r="B121" s="54" t="s">
        <v>544</v>
      </c>
      <c r="C121" s="54" t="s">
        <v>213</v>
      </c>
      <c r="D121" s="54" t="s">
        <v>288</v>
      </c>
      <c r="E121" s="54" t="s">
        <v>288</v>
      </c>
      <c r="F121" s="54" t="s">
        <v>545</v>
      </c>
    </row>
    <row r="122" customFormat="false" ht="15" hidden="false" customHeight="false" outlineLevel="0" collapsed="false">
      <c r="A122" s="54" t="s">
        <v>546</v>
      </c>
      <c r="B122" s="54" t="s">
        <v>547</v>
      </c>
      <c r="C122" s="54" t="s">
        <v>190</v>
      </c>
      <c r="D122" s="54" t="s">
        <v>288</v>
      </c>
      <c r="E122" s="54" t="s">
        <v>288</v>
      </c>
      <c r="F122" s="54" t="s">
        <v>486</v>
      </c>
    </row>
    <row r="123" customFormat="false" ht="15" hidden="false" customHeight="false" outlineLevel="0" collapsed="false">
      <c r="A123" s="54" t="s">
        <v>548</v>
      </c>
      <c r="B123" s="54" t="s">
        <v>549</v>
      </c>
      <c r="C123" s="54" t="s">
        <v>216</v>
      </c>
      <c r="D123" s="54" t="s">
        <v>282</v>
      </c>
      <c r="E123" s="54" t="s">
        <v>282</v>
      </c>
      <c r="F123" s="54"/>
    </row>
    <row r="124" customFormat="false" ht="15" hidden="false" customHeight="false" outlineLevel="0" collapsed="false">
      <c r="A124" s="54" t="s">
        <v>550</v>
      </c>
      <c r="B124" s="54" t="s">
        <v>551</v>
      </c>
      <c r="C124" s="54" t="s">
        <v>193</v>
      </c>
      <c r="D124" s="54" t="s">
        <v>282</v>
      </c>
      <c r="E124" s="54" t="s">
        <v>297</v>
      </c>
      <c r="F124" s="54" t="s">
        <v>552</v>
      </c>
    </row>
    <row r="125" customFormat="false" ht="15" hidden="false" customHeight="false" outlineLevel="0" collapsed="false">
      <c r="A125" s="54" t="s">
        <v>365</v>
      </c>
      <c r="B125" s="54" t="s">
        <v>553</v>
      </c>
      <c r="C125" s="54" t="s">
        <v>235</v>
      </c>
      <c r="D125" s="54" t="s">
        <v>288</v>
      </c>
      <c r="E125" s="54" t="s">
        <v>288</v>
      </c>
      <c r="F125" s="54" t="s">
        <v>364</v>
      </c>
    </row>
    <row r="126" customFormat="false" ht="15" hidden="false" customHeight="false" outlineLevel="0" collapsed="false">
      <c r="A126" s="54" t="s">
        <v>554</v>
      </c>
      <c r="B126" s="54" t="s">
        <v>553</v>
      </c>
      <c r="C126" s="54" t="s">
        <v>208</v>
      </c>
      <c r="D126" s="54" t="s">
        <v>288</v>
      </c>
      <c r="E126" s="54" t="s">
        <v>288</v>
      </c>
      <c r="F126" s="54" t="s">
        <v>555</v>
      </c>
    </row>
    <row r="127" customFormat="false" ht="15" hidden="false" customHeight="false" outlineLevel="0" collapsed="false">
      <c r="A127" s="54" t="s">
        <v>556</v>
      </c>
      <c r="B127" s="54" t="s">
        <v>553</v>
      </c>
      <c r="C127" s="54" t="s">
        <v>213</v>
      </c>
      <c r="D127" s="54" t="s">
        <v>288</v>
      </c>
      <c r="E127" s="54" t="s">
        <v>288</v>
      </c>
      <c r="F127" s="54" t="s">
        <v>557</v>
      </c>
    </row>
    <row r="128" customFormat="false" ht="15" hidden="false" customHeight="false" outlineLevel="0" collapsed="false">
      <c r="A128" s="54" t="s">
        <v>558</v>
      </c>
      <c r="B128" s="54" t="s">
        <v>559</v>
      </c>
      <c r="C128" s="54" t="s">
        <v>210</v>
      </c>
      <c r="D128" s="54" t="s">
        <v>282</v>
      </c>
      <c r="E128" s="54" t="s">
        <v>282</v>
      </c>
      <c r="F128" s="54" t="s">
        <v>560</v>
      </c>
    </row>
    <row r="129" customFormat="false" ht="15" hidden="false" customHeight="false" outlineLevel="0" collapsed="false">
      <c r="A129" s="54" t="s">
        <v>561</v>
      </c>
      <c r="B129" s="54" t="s">
        <v>562</v>
      </c>
      <c r="C129" s="54" t="s">
        <v>214</v>
      </c>
      <c r="D129" s="54" t="s">
        <v>282</v>
      </c>
      <c r="E129" s="54" t="s">
        <v>282</v>
      </c>
      <c r="F129" s="54" t="s">
        <v>563</v>
      </c>
    </row>
    <row r="130" customFormat="false" ht="15" hidden="false" customHeight="false" outlineLevel="0" collapsed="false">
      <c r="A130" s="54" t="s">
        <v>564</v>
      </c>
      <c r="B130" s="54" t="s">
        <v>564</v>
      </c>
      <c r="C130" s="54" t="s">
        <v>191</v>
      </c>
      <c r="D130" s="54" t="s">
        <v>282</v>
      </c>
      <c r="E130" s="54" t="s">
        <v>294</v>
      </c>
      <c r="F130" s="54" t="s">
        <v>565</v>
      </c>
    </row>
    <row r="131" customFormat="false" ht="15" hidden="false" customHeight="false" outlineLevel="0" collapsed="false">
      <c r="A131" s="54" t="s">
        <v>473</v>
      </c>
      <c r="B131" s="54" t="s">
        <v>551</v>
      </c>
      <c r="C131" s="54" t="s">
        <v>236</v>
      </c>
      <c r="D131" s="54" t="s">
        <v>282</v>
      </c>
      <c r="E131" s="54" t="s">
        <v>297</v>
      </c>
      <c r="F131" s="54" t="s">
        <v>472</v>
      </c>
    </row>
    <row r="132" customFormat="false" ht="15" hidden="false" customHeight="false" outlineLevel="0" collapsed="false">
      <c r="A132" s="54" t="s">
        <v>566</v>
      </c>
      <c r="B132" s="54" t="s">
        <v>567</v>
      </c>
      <c r="C132" s="54" t="s">
        <v>242</v>
      </c>
      <c r="D132" s="54" t="s">
        <v>288</v>
      </c>
      <c r="E132" s="54" t="s">
        <v>288</v>
      </c>
      <c r="F132" s="54" t="s">
        <v>568</v>
      </c>
    </row>
    <row r="133" customFormat="false" ht="15" hidden="false" customHeight="false" outlineLevel="0" collapsed="false">
      <c r="A133" s="54" t="s">
        <v>569</v>
      </c>
      <c r="B133" s="54" t="s">
        <v>569</v>
      </c>
      <c r="C133" s="54" t="s">
        <v>201</v>
      </c>
      <c r="D133" s="54" t="s">
        <v>282</v>
      </c>
      <c r="E133" s="54" t="s">
        <v>282</v>
      </c>
      <c r="F133" s="54" t="s">
        <v>570</v>
      </c>
    </row>
    <row r="134" customFormat="false" ht="15" hidden="false" customHeight="false" outlineLevel="0" collapsed="false">
      <c r="A134" s="54" t="s">
        <v>571</v>
      </c>
      <c r="B134" s="54" t="s">
        <v>571</v>
      </c>
      <c r="C134" s="54" t="s">
        <v>188</v>
      </c>
      <c r="D134" s="54" t="s">
        <v>282</v>
      </c>
      <c r="E134" s="54" t="s">
        <v>294</v>
      </c>
      <c r="F134" s="54" t="s">
        <v>572</v>
      </c>
    </row>
    <row r="135" customFormat="false" ht="15" hidden="false" customHeight="false" outlineLevel="0" collapsed="false">
      <c r="A135" s="54" t="s">
        <v>573</v>
      </c>
      <c r="B135" s="54" t="s">
        <v>574</v>
      </c>
      <c r="C135" s="54" t="s">
        <v>188</v>
      </c>
      <c r="D135" s="54" t="s">
        <v>294</v>
      </c>
      <c r="E135" s="54" t="s">
        <v>282</v>
      </c>
      <c r="F135" s="54" t="s">
        <v>575</v>
      </c>
    </row>
    <row r="136" customFormat="false" ht="15" hidden="false" customHeight="false" outlineLevel="0" collapsed="false">
      <c r="A136" s="54" t="s">
        <v>576</v>
      </c>
      <c r="B136" s="54" t="s">
        <v>577</v>
      </c>
      <c r="C136" s="54" t="s">
        <v>210</v>
      </c>
      <c r="D136" s="54" t="s">
        <v>282</v>
      </c>
      <c r="E136" s="54" t="s">
        <v>282</v>
      </c>
      <c r="F136" s="54" t="s">
        <v>578</v>
      </c>
    </row>
    <row r="137" customFormat="false" ht="15" hidden="false" customHeight="false" outlineLevel="0" collapsed="false">
      <c r="A137" s="54" t="s">
        <v>579</v>
      </c>
      <c r="B137" s="54" t="s">
        <v>580</v>
      </c>
      <c r="C137" s="54" t="s">
        <v>230</v>
      </c>
      <c r="D137" s="54" t="s">
        <v>282</v>
      </c>
      <c r="E137" s="54" t="s">
        <v>282</v>
      </c>
      <c r="F137" s="54" t="s">
        <v>581</v>
      </c>
    </row>
    <row r="138" customFormat="false" ht="15" hidden="false" customHeight="false" outlineLevel="0" collapsed="false">
      <c r="A138" s="54" t="s">
        <v>582</v>
      </c>
      <c r="B138" s="54" t="s">
        <v>582</v>
      </c>
      <c r="C138" s="54" t="s">
        <v>221</v>
      </c>
      <c r="D138" s="54" t="s">
        <v>288</v>
      </c>
      <c r="E138" s="54" t="s">
        <v>288</v>
      </c>
      <c r="F138" s="54" t="s">
        <v>583</v>
      </c>
    </row>
    <row r="139" customFormat="false" ht="15" hidden="false" customHeight="false" outlineLevel="0" collapsed="false">
      <c r="A139" s="54" t="s">
        <v>581</v>
      </c>
      <c r="B139" s="54" t="s">
        <v>581</v>
      </c>
      <c r="C139" s="54" t="s">
        <v>230</v>
      </c>
      <c r="D139" s="54" t="s">
        <v>282</v>
      </c>
      <c r="E139" s="54" t="s">
        <v>282</v>
      </c>
      <c r="F139" s="54" t="s">
        <v>579</v>
      </c>
    </row>
    <row r="140" customFormat="false" ht="15" hidden="false" customHeight="false" outlineLevel="0" collapsed="false">
      <c r="A140" s="54" t="s">
        <v>584</v>
      </c>
      <c r="B140" s="54" t="s">
        <v>551</v>
      </c>
      <c r="C140" s="54" t="s">
        <v>191</v>
      </c>
      <c r="D140" s="54" t="s">
        <v>282</v>
      </c>
      <c r="E140" s="54" t="s">
        <v>282</v>
      </c>
      <c r="F140" s="54" t="s">
        <v>585</v>
      </c>
    </row>
    <row r="141" customFormat="false" ht="15" hidden="false" customHeight="false" outlineLevel="0" collapsed="false">
      <c r="A141" s="54" t="s">
        <v>586</v>
      </c>
      <c r="B141" s="54" t="s">
        <v>586</v>
      </c>
      <c r="C141" s="54" t="s">
        <v>197</v>
      </c>
      <c r="D141" s="54" t="s">
        <v>282</v>
      </c>
      <c r="E141" s="54" t="s">
        <v>297</v>
      </c>
      <c r="F141" s="54" t="s">
        <v>587</v>
      </c>
    </row>
    <row r="142" customFormat="false" ht="15" hidden="false" customHeight="false" outlineLevel="0" collapsed="false">
      <c r="A142" s="54" t="s">
        <v>588</v>
      </c>
      <c r="B142" s="54" t="s">
        <v>589</v>
      </c>
      <c r="C142" s="54" t="s">
        <v>227</v>
      </c>
      <c r="D142" s="54" t="s">
        <v>288</v>
      </c>
      <c r="E142" s="54" t="s">
        <v>288</v>
      </c>
      <c r="F142" s="54"/>
    </row>
    <row r="143" customFormat="false" ht="15" hidden="false" customHeight="false" outlineLevel="0" collapsed="false">
      <c r="A143" s="54" t="s">
        <v>590</v>
      </c>
      <c r="B143" s="54" t="s">
        <v>591</v>
      </c>
      <c r="C143" s="54" t="s">
        <v>240</v>
      </c>
      <c r="D143" s="54" t="s">
        <v>282</v>
      </c>
      <c r="E143" s="54" t="s">
        <v>282</v>
      </c>
      <c r="F143" s="54" t="s">
        <v>592</v>
      </c>
    </row>
    <row r="144" customFormat="false" ht="15" hidden="false" customHeight="false" outlineLevel="0" collapsed="false">
      <c r="A144" s="54" t="s">
        <v>593</v>
      </c>
      <c r="B144" s="54" t="s">
        <v>594</v>
      </c>
      <c r="C144" s="54" t="s">
        <v>201</v>
      </c>
      <c r="D144" s="54" t="s">
        <v>282</v>
      </c>
      <c r="E144" s="54" t="s">
        <v>282</v>
      </c>
      <c r="F144" s="54" t="s">
        <v>595</v>
      </c>
    </row>
    <row r="145" customFormat="false" ht="15" hidden="false" customHeight="false" outlineLevel="0" collapsed="false">
      <c r="A145" s="54" t="s">
        <v>596</v>
      </c>
      <c r="B145" s="54" t="s">
        <v>596</v>
      </c>
      <c r="C145" s="54" t="s">
        <v>191</v>
      </c>
      <c r="D145" s="54" t="s">
        <v>282</v>
      </c>
      <c r="E145" s="54" t="s">
        <v>282</v>
      </c>
      <c r="F145" s="54" t="s">
        <v>597</v>
      </c>
    </row>
    <row r="146" customFormat="false" ht="15" hidden="false" customHeight="false" outlineLevel="0" collapsed="false">
      <c r="A146" s="54" t="s">
        <v>598</v>
      </c>
      <c r="B146" s="54" t="s">
        <v>599</v>
      </c>
      <c r="C146" s="54" t="s">
        <v>210</v>
      </c>
      <c r="D146" s="54" t="s">
        <v>288</v>
      </c>
      <c r="E146" s="54" t="s">
        <v>288</v>
      </c>
      <c r="F146" s="54" t="s">
        <v>517</v>
      </c>
    </row>
    <row r="147" customFormat="false" ht="15" hidden="false" customHeight="false" outlineLevel="0" collapsed="false">
      <c r="A147" s="54" t="s">
        <v>600</v>
      </c>
      <c r="B147" s="54" t="s">
        <v>601</v>
      </c>
      <c r="C147" s="54" t="s">
        <v>210</v>
      </c>
      <c r="D147" s="54" t="s">
        <v>282</v>
      </c>
      <c r="E147" s="54" t="s">
        <v>282</v>
      </c>
      <c r="F147" s="54" t="s">
        <v>602</v>
      </c>
    </row>
    <row r="148" customFormat="false" ht="15" hidden="false" customHeight="false" outlineLevel="0" collapsed="false">
      <c r="A148" s="54" t="s">
        <v>603</v>
      </c>
      <c r="B148" s="54" t="s">
        <v>603</v>
      </c>
      <c r="C148" s="54" t="s">
        <v>195</v>
      </c>
      <c r="D148" s="54" t="s">
        <v>282</v>
      </c>
      <c r="E148" s="54" t="s">
        <v>294</v>
      </c>
      <c r="F148" s="54"/>
    </row>
    <row r="149" customFormat="false" ht="15" hidden="false" customHeight="false" outlineLevel="0" collapsed="false">
      <c r="A149" s="54" t="s">
        <v>604</v>
      </c>
      <c r="B149" s="54" t="s">
        <v>605</v>
      </c>
      <c r="C149" s="54" t="s">
        <v>213</v>
      </c>
      <c r="D149" s="54" t="s">
        <v>288</v>
      </c>
      <c r="E149" s="54" t="s">
        <v>288</v>
      </c>
      <c r="F149" s="54" t="s">
        <v>606</v>
      </c>
    </row>
    <row r="150" customFormat="false" ht="15" hidden="false" customHeight="false" outlineLevel="0" collapsed="false">
      <c r="A150" s="54" t="s">
        <v>389</v>
      </c>
      <c r="B150" s="54" t="s">
        <v>389</v>
      </c>
      <c r="C150" s="54" t="s">
        <v>196</v>
      </c>
      <c r="D150" s="54" t="s">
        <v>288</v>
      </c>
      <c r="E150" s="54" t="s">
        <v>288</v>
      </c>
      <c r="F150" s="54" t="s">
        <v>388</v>
      </c>
    </row>
    <row r="151" customFormat="false" ht="15" hidden="false" customHeight="false" outlineLevel="0" collapsed="false">
      <c r="A151" s="54" t="s">
        <v>607</v>
      </c>
      <c r="B151" s="54" t="s">
        <v>608</v>
      </c>
      <c r="C151" s="54" t="s">
        <v>190</v>
      </c>
      <c r="D151" s="54" t="s">
        <v>288</v>
      </c>
      <c r="E151" s="54" t="s">
        <v>288</v>
      </c>
      <c r="F151" s="54" t="s">
        <v>609</v>
      </c>
    </row>
    <row r="152" customFormat="false" ht="15" hidden="false" customHeight="false" outlineLevel="0" collapsed="false">
      <c r="A152" s="54" t="s">
        <v>610</v>
      </c>
      <c r="B152" s="54" t="s">
        <v>610</v>
      </c>
      <c r="C152" s="54" t="s">
        <v>188</v>
      </c>
      <c r="D152" s="54" t="s">
        <v>282</v>
      </c>
      <c r="E152" s="54" t="s">
        <v>297</v>
      </c>
      <c r="F152" s="54" t="s">
        <v>611</v>
      </c>
    </row>
    <row r="153" customFormat="false" ht="15" hidden="false" customHeight="false" outlineLevel="0" collapsed="false">
      <c r="A153" s="54" t="s">
        <v>612</v>
      </c>
      <c r="B153" s="54" t="s">
        <v>340</v>
      </c>
      <c r="C153" s="54" t="s">
        <v>238</v>
      </c>
      <c r="D153" s="54" t="s">
        <v>282</v>
      </c>
      <c r="E153" s="54" t="s">
        <v>297</v>
      </c>
      <c r="F153" s="54" t="s">
        <v>613</v>
      </c>
    </row>
    <row r="154" customFormat="false" ht="15" hidden="false" customHeight="false" outlineLevel="0" collapsed="false">
      <c r="A154" s="54" t="s">
        <v>614</v>
      </c>
      <c r="B154" s="54" t="s">
        <v>614</v>
      </c>
      <c r="C154" s="54" t="s">
        <v>194</v>
      </c>
      <c r="D154" s="54" t="s">
        <v>282</v>
      </c>
      <c r="E154" s="54" t="s">
        <v>282</v>
      </c>
      <c r="F154" s="54" t="s">
        <v>615</v>
      </c>
    </row>
    <row r="155" customFormat="false" ht="15" hidden="false" customHeight="false" outlineLevel="0" collapsed="false">
      <c r="A155" s="54" t="s">
        <v>616</v>
      </c>
      <c r="B155" s="54" t="s">
        <v>617</v>
      </c>
      <c r="C155" s="54" t="s">
        <v>213</v>
      </c>
      <c r="D155" s="54" t="s">
        <v>288</v>
      </c>
      <c r="E155" s="54" t="s">
        <v>288</v>
      </c>
      <c r="F155" s="54" t="s">
        <v>618</v>
      </c>
    </row>
    <row r="156" customFormat="false" ht="15" hidden="false" customHeight="false" outlineLevel="0" collapsed="false">
      <c r="A156" s="54" t="s">
        <v>619</v>
      </c>
      <c r="B156" s="54" t="s">
        <v>619</v>
      </c>
      <c r="C156" s="54" t="s">
        <v>242</v>
      </c>
      <c r="D156" s="54" t="s">
        <v>288</v>
      </c>
      <c r="E156" s="54" t="s">
        <v>288</v>
      </c>
      <c r="F156" s="54" t="s">
        <v>620</v>
      </c>
    </row>
    <row r="157" customFormat="false" ht="15" hidden="false" customHeight="false" outlineLevel="0" collapsed="false">
      <c r="A157" s="54" t="s">
        <v>621</v>
      </c>
      <c r="B157" s="54" t="s">
        <v>622</v>
      </c>
      <c r="C157" s="54" t="s">
        <v>199</v>
      </c>
      <c r="D157" s="54" t="s">
        <v>282</v>
      </c>
      <c r="E157" s="54" t="s">
        <v>297</v>
      </c>
      <c r="F157" s="54" t="s">
        <v>623</v>
      </c>
    </row>
    <row r="158" customFormat="false" ht="15" hidden="false" customHeight="false" outlineLevel="0" collapsed="false">
      <c r="A158" s="54" t="s">
        <v>624</v>
      </c>
      <c r="B158" s="54" t="s">
        <v>625</v>
      </c>
      <c r="C158" s="54" t="s">
        <v>193</v>
      </c>
      <c r="D158" s="54" t="s">
        <v>294</v>
      </c>
      <c r="E158" s="54" t="s">
        <v>282</v>
      </c>
      <c r="F158" s="54" t="s">
        <v>626</v>
      </c>
    </row>
    <row r="159" customFormat="false" ht="15" hidden="false" customHeight="false" outlineLevel="0" collapsed="false">
      <c r="A159" s="54" t="s">
        <v>627</v>
      </c>
      <c r="B159" s="54" t="s">
        <v>628</v>
      </c>
      <c r="C159" s="54" t="s">
        <v>238</v>
      </c>
      <c r="D159" s="54" t="s">
        <v>282</v>
      </c>
      <c r="E159" s="54" t="s">
        <v>282</v>
      </c>
      <c r="F159" s="54" t="s">
        <v>629</v>
      </c>
    </row>
    <row r="160" customFormat="false" ht="15" hidden="false" customHeight="false" outlineLevel="0" collapsed="false">
      <c r="A160" s="54" t="s">
        <v>630</v>
      </c>
      <c r="B160" s="54" t="s">
        <v>630</v>
      </c>
      <c r="C160" s="54" t="s">
        <v>232</v>
      </c>
      <c r="D160" s="54" t="s">
        <v>288</v>
      </c>
      <c r="E160" s="54" t="s">
        <v>288</v>
      </c>
      <c r="F160" s="54"/>
    </row>
    <row r="161" customFormat="false" ht="15" hidden="false" customHeight="false" outlineLevel="0" collapsed="false">
      <c r="A161" s="54" t="s">
        <v>631</v>
      </c>
      <c r="B161" s="54" t="s">
        <v>632</v>
      </c>
      <c r="C161" s="54" t="s">
        <v>229</v>
      </c>
      <c r="D161" s="54" t="s">
        <v>282</v>
      </c>
      <c r="E161" s="54" t="s">
        <v>282</v>
      </c>
      <c r="F161" s="54" t="s">
        <v>633</v>
      </c>
    </row>
  </sheetData>
  <sheetProtection sheet="true" sort="false" autoFilter="false"/>
  <autoFilter ref="A4:F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634</v>
      </c>
      <c r="B1" s="0" t="s">
        <v>635</v>
      </c>
      <c r="C1" s="0" t="s">
        <v>636</v>
      </c>
      <c r="D1" s="0" t="s">
        <v>637</v>
      </c>
      <c r="E1" s="0" t="s">
        <v>638</v>
      </c>
      <c r="F1" s="0" t="s">
        <v>639</v>
      </c>
      <c r="G1" s="0" t="s">
        <v>640</v>
      </c>
      <c r="H1" s="0" t="s">
        <v>641</v>
      </c>
      <c r="I1" s="0" t="s">
        <v>642</v>
      </c>
      <c r="J1" s="0" t="s">
        <v>643</v>
      </c>
      <c r="K1" s="0" t="s">
        <v>644</v>
      </c>
      <c r="L1" s="0" t="s">
        <v>645</v>
      </c>
    </row>
    <row r="2" customFormat="false" ht="15" hidden="false" customHeight="false" outlineLevel="0" collapsed="false">
      <c r="A2" s="0" t="s">
        <v>143</v>
      </c>
      <c r="B2" s="0" t="s">
        <v>138</v>
      </c>
      <c r="C2" s="0" t="s">
        <v>646</v>
      </c>
      <c r="D2" s="0" t="s">
        <v>141</v>
      </c>
      <c r="E2" s="0" t="s">
        <v>142</v>
      </c>
      <c r="F2" s="0" t="s">
        <v>647</v>
      </c>
      <c r="G2" s="0" t="s">
        <v>163</v>
      </c>
      <c r="H2" s="0" t="s">
        <v>21</v>
      </c>
      <c r="I2" s="0" t="s">
        <v>177</v>
      </c>
      <c r="J2" s="0" t="s">
        <v>648</v>
      </c>
      <c r="K2" s="0" t="s">
        <v>649</v>
      </c>
      <c r="L2" s="0" t="s">
        <v>143</v>
      </c>
    </row>
    <row r="3" customFormat="false" ht="15" hidden="false" customHeight="false" outlineLevel="0" collapsed="false">
      <c r="A3" s="0" t="s">
        <v>144</v>
      </c>
      <c r="B3" s="0" t="s">
        <v>650</v>
      </c>
      <c r="C3" s="0" t="s">
        <v>651</v>
      </c>
      <c r="D3" s="0" t="s">
        <v>652</v>
      </c>
      <c r="E3" s="0" t="s">
        <v>653</v>
      </c>
      <c r="F3" s="0" t="s">
        <v>654</v>
      </c>
      <c r="G3" s="0" t="s">
        <v>165</v>
      </c>
      <c r="H3" s="0" t="s">
        <v>655</v>
      </c>
      <c r="I3" s="0" t="s">
        <v>149</v>
      </c>
      <c r="J3" s="0" t="s">
        <v>656</v>
      </c>
      <c r="K3" s="0" t="s">
        <v>657</v>
      </c>
      <c r="L3" s="0" t="s">
        <v>658</v>
      </c>
    </row>
    <row r="4" customFormat="false" ht="15" hidden="false" customHeight="false" outlineLevel="0" collapsed="false">
      <c r="A4" s="0" t="s">
        <v>172</v>
      </c>
      <c r="B4" s="0" t="s">
        <v>659</v>
      </c>
      <c r="C4" s="0" t="s">
        <v>140</v>
      </c>
      <c r="D4" s="0" t="s">
        <v>660</v>
      </c>
      <c r="E4" s="0" t="s">
        <v>127</v>
      </c>
      <c r="F4" s="0" t="s">
        <v>661</v>
      </c>
      <c r="G4" s="0" t="s">
        <v>146</v>
      </c>
      <c r="H4" s="0" t="s">
        <v>662</v>
      </c>
      <c r="I4" s="0" t="s">
        <v>178</v>
      </c>
      <c r="J4" s="0" t="s">
        <v>663</v>
      </c>
      <c r="K4" s="0" t="s">
        <v>664</v>
      </c>
      <c r="L4" s="0" t="s">
        <v>144</v>
      </c>
    </row>
    <row r="5" customFormat="false" ht="15" hidden="false" customHeight="false" outlineLevel="0" collapsed="false">
      <c r="B5" s="0" t="s">
        <v>665</v>
      </c>
      <c r="C5" s="0" t="s">
        <v>666</v>
      </c>
      <c r="D5" s="0" t="s">
        <v>667</v>
      </c>
      <c r="E5" s="0" t="s">
        <v>128</v>
      </c>
      <c r="F5" s="0" t="s">
        <v>668</v>
      </c>
      <c r="G5" s="0" t="s">
        <v>168</v>
      </c>
      <c r="H5" s="0" t="s">
        <v>669</v>
      </c>
      <c r="I5" s="0" t="s">
        <v>179</v>
      </c>
      <c r="J5" s="0" t="s">
        <v>670</v>
      </c>
      <c r="K5" s="0" t="s">
        <v>671</v>
      </c>
      <c r="L5" s="0" t="s">
        <v>172</v>
      </c>
    </row>
    <row r="6" customFormat="false" ht="15" hidden="false" customHeight="false" outlineLevel="0" collapsed="false">
      <c r="D6" s="0" t="s">
        <v>672</v>
      </c>
      <c r="E6" s="0" t="s">
        <v>673</v>
      </c>
      <c r="F6" s="0" t="s">
        <v>674</v>
      </c>
      <c r="G6" s="0" t="s">
        <v>170</v>
      </c>
      <c r="H6" s="0" t="s">
        <v>675</v>
      </c>
      <c r="I6" s="0" t="s">
        <v>180</v>
      </c>
      <c r="J6" s="0" t="s">
        <v>676</v>
      </c>
      <c r="K6" s="0" t="s">
        <v>677</v>
      </c>
    </row>
    <row r="7" customFormat="false" ht="15" hidden="false" customHeight="false" outlineLevel="0" collapsed="false">
      <c r="D7" s="0" t="s">
        <v>172</v>
      </c>
      <c r="E7" s="0" t="s">
        <v>172</v>
      </c>
      <c r="G7" s="0" t="s">
        <v>172</v>
      </c>
      <c r="H7" s="0" t="s">
        <v>678</v>
      </c>
      <c r="I7" s="0" t="s">
        <v>181</v>
      </c>
      <c r="J7" s="0" t="s">
        <v>679</v>
      </c>
      <c r="K7" s="0" t="s">
        <v>680</v>
      </c>
    </row>
    <row r="8" customFormat="false" ht="15" hidden="false" customHeight="false" outlineLevel="0" collapsed="false">
      <c r="H8" s="0" t="s">
        <v>681</v>
      </c>
      <c r="I8" s="0" t="s">
        <v>182</v>
      </c>
      <c r="J8" s="0" t="s">
        <v>682</v>
      </c>
      <c r="K8" s="0" t="s">
        <v>683</v>
      </c>
    </row>
    <row r="9" customFormat="false" ht="15" hidden="false" customHeight="false" outlineLevel="0" collapsed="false">
      <c r="H9" s="0" t="s">
        <v>684</v>
      </c>
      <c r="I9" s="0" t="s">
        <v>183</v>
      </c>
      <c r="J9" s="0" t="s">
        <v>685</v>
      </c>
      <c r="K9" s="0" t="s">
        <v>686</v>
      </c>
    </row>
    <row r="10" customFormat="false" ht="15" hidden="false" customHeight="false" outlineLevel="0" collapsed="false">
      <c r="H10" s="0" t="s">
        <v>687</v>
      </c>
      <c r="J10" s="0" t="s">
        <v>688</v>
      </c>
      <c r="K10" s="0" t="s">
        <v>689</v>
      </c>
    </row>
    <row r="11" customFormat="false" ht="15" hidden="false" customHeight="false" outlineLevel="0" collapsed="false">
      <c r="H11" s="0" t="s">
        <v>690</v>
      </c>
      <c r="J11" s="0" t="s">
        <v>691</v>
      </c>
      <c r="K11" s="0" t="s">
        <v>692</v>
      </c>
    </row>
    <row r="12" customFormat="false" ht="15" hidden="false" customHeight="false" outlineLevel="0" collapsed="false">
      <c r="J12" s="0" t="s">
        <v>693</v>
      </c>
      <c r="K12" s="0" t="s">
        <v>694</v>
      </c>
    </row>
    <row r="13" customFormat="false" ht="15" hidden="false" customHeight="false" outlineLevel="0" collapsed="false">
      <c r="J13" s="0" t="s">
        <v>695</v>
      </c>
      <c r="K13" s="0" t="s">
        <v>696</v>
      </c>
    </row>
    <row r="14" customFormat="false" ht="15" hidden="false" customHeight="false" outlineLevel="0" collapsed="false">
      <c r="J14" s="0" t="s">
        <v>690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B5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697</v>
      </c>
      <c r="B1" s="0" t="s">
        <v>123</v>
      </c>
    </row>
    <row r="2" customFormat="false" ht="15" hidden="false" customHeight="false" outlineLevel="0" collapsed="false">
      <c r="A2" s="0" t="s">
        <v>550</v>
      </c>
      <c r="B2" s="0" t="s">
        <v>550</v>
      </c>
    </row>
    <row r="3" customFormat="false" ht="15" hidden="false" customHeight="false" outlineLevel="0" collapsed="false">
      <c r="A3" s="0" t="s">
        <v>698</v>
      </c>
      <c r="B3" s="0" t="s">
        <v>550</v>
      </c>
    </row>
    <row r="4" customFormat="false" ht="15" hidden="false" customHeight="false" outlineLevel="0" collapsed="false">
      <c r="A4" s="0" t="s">
        <v>699</v>
      </c>
      <c r="B4" s="0" t="s">
        <v>550</v>
      </c>
    </row>
    <row r="5" customFormat="false" ht="15" hidden="false" customHeight="false" outlineLevel="0" collapsed="false">
      <c r="A5" s="0" t="s">
        <v>700</v>
      </c>
      <c r="B5" s="0" t="s">
        <v>550</v>
      </c>
    </row>
    <row r="6" customFormat="false" ht="15" hidden="false" customHeight="false" outlineLevel="0" collapsed="false">
      <c r="A6" s="0" t="s">
        <v>701</v>
      </c>
      <c r="B6" s="0" t="s">
        <v>550</v>
      </c>
    </row>
    <row r="7" customFormat="false" ht="15" hidden="false" customHeight="false" outlineLevel="0" collapsed="false">
      <c r="A7" s="0" t="s">
        <v>702</v>
      </c>
      <c r="B7" s="0" t="s">
        <v>550</v>
      </c>
    </row>
    <row r="8" customFormat="false" ht="15" hidden="false" customHeight="false" outlineLevel="0" collapsed="false">
      <c r="A8" s="0" t="s">
        <v>703</v>
      </c>
      <c r="B8" s="0" t="s">
        <v>550</v>
      </c>
    </row>
    <row r="9" customFormat="false" ht="15" hidden="false" customHeight="false" outlineLevel="0" collapsed="false">
      <c r="A9" s="0" t="s">
        <v>430</v>
      </c>
      <c r="B9" s="0" t="s">
        <v>430</v>
      </c>
    </row>
    <row r="10" customFormat="false" ht="15" hidden="false" customHeight="false" outlineLevel="0" collapsed="false">
      <c r="A10" s="0" t="s">
        <v>704</v>
      </c>
      <c r="B10" s="0" t="s">
        <v>430</v>
      </c>
    </row>
    <row r="11" customFormat="false" ht="15" hidden="false" customHeight="false" outlineLevel="0" collapsed="false">
      <c r="A11" s="0" t="s">
        <v>705</v>
      </c>
      <c r="B11" s="0" t="s">
        <v>430</v>
      </c>
    </row>
    <row r="12" customFormat="false" ht="15" hidden="false" customHeight="false" outlineLevel="0" collapsed="false">
      <c r="A12" s="0" t="s">
        <v>706</v>
      </c>
      <c r="B12" s="0" t="s">
        <v>430</v>
      </c>
    </row>
    <row r="13" customFormat="false" ht="15" hidden="false" customHeight="false" outlineLevel="0" collapsed="false">
      <c r="A13" s="0" t="s">
        <v>707</v>
      </c>
      <c r="B13" s="0" t="s">
        <v>430</v>
      </c>
    </row>
    <row r="14" customFormat="false" ht="15" hidden="false" customHeight="false" outlineLevel="0" collapsed="false">
      <c r="A14" s="0" t="s">
        <v>708</v>
      </c>
      <c r="B14" s="0" t="s">
        <v>430</v>
      </c>
    </row>
    <row r="15" customFormat="false" ht="15" hidden="false" customHeight="false" outlineLevel="0" collapsed="false">
      <c r="A15" s="0" t="s">
        <v>522</v>
      </c>
      <c r="B15" s="0" t="s">
        <v>522</v>
      </c>
    </row>
    <row r="16" customFormat="false" ht="15" hidden="false" customHeight="false" outlineLevel="0" collapsed="false">
      <c r="A16" s="0" t="s">
        <v>709</v>
      </c>
      <c r="B16" s="0" t="s">
        <v>522</v>
      </c>
    </row>
    <row r="17" customFormat="false" ht="15" hidden="false" customHeight="false" outlineLevel="0" collapsed="false">
      <c r="A17" s="0" t="s">
        <v>710</v>
      </c>
      <c r="B17" s="0" t="s">
        <v>522</v>
      </c>
    </row>
    <row r="18" customFormat="false" ht="15" hidden="false" customHeight="false" outlineLevel="0" collapsed="false">
      <c r="A18" s="0" t="s">
        <v>624</v>
      </c>
      <c r="B18" s="0" t="s">
        <v>624</v>
      </c>
    </row>
    <row r="19" customFormat="false" ht="15" hidden="false" customHeight="false" outlineLevel="0" collapsed="false">
      <c r="A19" s="0" t="s">
        <v>711</v>
      </c>
      <c r="B19" s="0" t="s">
        <v>624</v>
      </c>
    </row>
    <row r="20" customFormat="false" ht="15" hidden="false" customHeight="false" outlineLevel="0" collapsed="false">
      <c r="A20" s="0" t="s">
        <v>467</v>
      </c>
      <c r="B20" s="0" t="s">
        <v>467</v>
      </c>
    </row>
    <row r="21" customFormat="false" ht="15" hidden="false" customHeight="false" outlineLevel="0" collapsed="false">
      <c r="A21" s="0" t="s">
        <v>712</v>
      </c>
      <c r="B21" s="0" t="s">
        <v>467</v>
      </c>
    </row>
    <row r="22" customFormat="false" ht="15" hidden="false" customHeight="false" outlineLevel="0" collapsed="false">
      <c r="A22" s="0" t="s">
        <v>713</v>
      </c>
      <c r="B22" s="0" t="s">
        <v>467</v>
      </c>
    </row>
    <row r="23" customFormat="false" ht="15" hidden="false" customHeight="false" outlineLevel="0" collapsed="false">
      <c r="A23" s="0" t="s">
        <v>714</v>
      </c>
      <c r="B23" s="0" t="s">
        <v>467</v>
      </c>
    </row>
    <row r="24" customFormat="false" ht="15" hidden="false" customHeight="false" outlineLevel="0" collapsed="false">
      <c r="A24" s="0" t="s">
        <v>715</v>
      </c>
      <c r="B24" s="0" t="s">
        <v>467</v>
      </c>
    </row>
    <row r="25" customFormat="false" ht="15" hidden="false" customHeight="false" outlineLevel="0" collapsed="false">
      <c r="A25" s="0" t="s">
        <v>716</v>
      </c>
      <c r="B25" s="0" t="s">
        <v>467</v>
      </c>
    </row>
    <row r="26" customFormat="false" ht="15" hidden="false" customHeight="false" outlineLevel="0" collapsed="false">
      <c r="A26" s="0" t="s">
        <v>717</v>
      </c>
      <c r="B26" s="0" t="s">
        <v>467</v>
      </c>
    </row>
    <row r="27" customFormat="false" ht="15" hidden="false" customHeight="false" outlineLevel="0" collapsed="false">
      <c r="A27" s="0" t="s">
        <v>422</v>
      </c>
      <c r="B27" s="0" t="s">
        <v>422</v>
      </c>
    </row>
    <row r="28" customFormat="false" ht="15" hidden="false" customHeight="false" outlineLevel="0" collapsed="false">
      <c r="A28" s="0" t="s">
        <v>718</v>
      </c>
      <c r="B28" s="0" t="s">
        <v>422</v>
      </c>
    </row>
    <row r="29" customFormat="false" ht="15" hidden="false" customHeight="false" outlineLevel="0" collapsed="false">
      <c r="A29" s="0" t="s">
        <v>719</v>
      </c>
      <c r="B29" s="0" t="s">
        <v>422</v>
      </c>
    </row>
    <row r="30" customFormat="false" ht="15" hidden="false" customHeight="false" outlineLevel="0" collapsed="false">
      <c r="A30" s="0" t="s">
        <v>720</v>
      </c>
      <c r="B30" s="0" t="s">
        <v>422</v>
      </c>
    </row>
    <row r="31" customFormat="false" ht="15" hidden="false" customHeight="false" outlineLevel="0" collapsed="false">
      <c r="A31" s="0" t="s">
        <v>721</v>
      </c>
      <c r="B31" s="0" t="s">
        <v>422</v>
      </c>
    </row>
    <row r="32" customFormat="false" ht="15" hidden="false" customHeight="false" outlineLevel="0" collapsed="false">
      <c r="A32" s="0" t="s">
        <v>722</v>
      </c>
      <c r="B32" s="0" t="s">
        <v>422</v>
      </c>
    </row>
    <row r="33" customFormat="false" ht="15" hidden="false" customHeight="false" outlineLevel="0" collapsed="false">
      <c r="A33" s="0" t="s">
        <v>424</v>
      </c>
      <c r="B33" s="0" t="s">
        <v>424</v>
      </c>
    </row>
    <row r="34" customFormat="false" ht="15" hidden="false" customHeight="false" outlineLevel="0" collapsed="false">
      <c r="A34" s="0" t="s">
        <v>723</v>
      </c>
      <c r="B34" s="0" t="s">
        <v>424</v>
      </c>
    </row>
    <row r="35" customFormat="false" ht="15" hidden="false" customHeight="false" outlineLevel="0" collapsed="false">
      <c r="A35" s="0" t="s">
        <v>724</v>
      </c>
      <c r="B35" s="0" t="s">
        <v>424</v>
      </c>
    </row>
    <row r="36" customFormat="false" ht="15" hidden="false" customHeight="false" outlineLevel="0" collapsed="false">
      <c r="A36" s="0" t="s">
        <v>725</v>
      </c>
      <c r="B36" s="0" t="s">
        <v>424</v>
      </c>
    </row>
    <row r="37" customFormat="false" ht="15" hidden="false" customHeight="false" outlineLevel="0" collapsed="false">
      <c r="A37" s="0" t="s">
        <v>726</v>
      </c>
      <c r="B37" s="0" t="s">
        <v>424</v>
      </c>
    </row>
    <row r="38" customFormat="false" ht="15" hidden="false" customHeight="false" outlineLevel="0" collapsed="false">
      <c r="A38" s="0" t="s">
        <v>727</v>
      </c>
      <c r="B38" s="0" t="s">
        <v>424</v>
      </c>
    </row>
    <row r="39" customFormat="false" ht="15" hidden="false" customHeight="false" outlineLevel="0" collapsed="false">
      <c r="A39" s="0" t="s">
        <v>728</v>
      </c>
      <c r="B39" s="0" t="s">
        <v>424</v>
      </c>
    </row>
    <row r="40" customFormat="false" ht="15" hidden="false" customHeight="false" outlineLevel="0" collapsed="false">
      <c r="A40" s="0" t="s">
        <v>729</v>
      </c>
      <c r="B40" s="0" t="s">
        <v>424</v>
      </c>
    </row>
    <row r="41" customFormat="false" ht="15" hidden="false" customHeight="false" outlineLevel="0" collapsed="false">
      <c r="A41" s="0" t="s">
        <v>730</v>
      </c>
      <c r="B41" s="0" t="s">
        <v>424</v>
      </c>
    </row>
    <row r="42" customFormat="false" ht="15" hidden="false" customHeight="false" outlineLevel="0" collapsed="false">
      <c r="A42" s="0" t="s">
        <v>473</v>
      </c>
      <c r="B42" s="0" t="s">
        <v>473</v>
      </c>
    </row>
    <row r="43" customFormat="false" ht="15" hidden="false" customHeight="false" outlineLevel="0" collapsed="false">
      <c r="A43" s="0" t="s">
        <v>731</v>
      </c>
      <c r="B43" s="0" t="s">
        <v>473</v>
      </c>
    </row>
    <row r="44" customFormat="false" ht="15" hidden="false" customHeight="false" outlineLevel="0" collapsed="false">
      <c r="A44" s="0" t="s">
        <v>732</v>
      </c>
      <c r="B44" s="0" t="s">
        <v>473</v>
      </c>
    </row>
    <row r="45" customFormat="false" ht="15" hidden="false" customHeight="false" outlineLevel="0" collapsed="false">
      <c r="A45" s="0" t="s">
        <v>733</v>
      </c>
      <c r="B45" s="0" t="s">
        <v>473</v>
      </c>
    </row>
    <row r="46" customFormat="false" ht="15" hidden="false" customHeight="false" outlineLevel="0" collapsed="false">
      <c r="A46" s="0" t="s">
        <v>734</v>
      </c>
      <c r="B46" s="0" t="s">
        <v>473</v>
      </c>
    </row>
    <row r="47" customFormat="false" ht="15" hidden="false" customHeight="false" outlineLevel="0" collapsed="false">
      <c r="A47" s="0" t="s">
        <v>735</v>
      </c>
      <c r="B47" s="0" t="s">
        <v>473</v>
      </c>
    </row>
    <row r="48" customFormat="false" ht="15" hidden="false" customHeight="false" outlineLevel="0" collapsed="false">
      <c r="A48" s="0" t="s">
        <v>627</v>
      </c>
      <c r="B48" s="0" t="s">
        <v>627</v>
      </c>
    </row>
    <row r="49" customFormat="false" ht="15" hidden="false" customHeight="false" outlineLevel="0" collapsed="false">
      <c r="A49" s="0" t="s">
        <v>736</v>
      </c>
      <c r="B49" s="0" t="s">
        <v>627</v>
      </c>
    </row>
    <row r="50" customFormat="false" ht="15" hidden="false" customHeight="false" outlineLevel="0" collapsed="false">
      <c r="A50" s="0" t="s">
        <v>737</v>
      </c>
      <c r="B50" s="0" t="s">
        <v>627</v>
      </c>
    </row>
    <row r="51" customFormat="false" ht="15" hidden="false" customHeight="false" outlineLevel="0" collapsed="false">
      <c r="A51" s="0" t="s">
        <v>738</v>
      </c>
      <c r="B51" s="0" t="s">
        <v>627</v>
      </c>
    </row>
    <row r="52" customFormat="false" ht="15" hidden="false" customHeight="false" outlineLevel="0" collapsed="false">
      <c r="A52" s="0" t="s">
        <v>739</v>
      </c>
      <c r="B52" s="0" t="s">
        <v>627</v>
      </c>
    </row>
    <row r="53" customFormat="false" ht="15" hidden="false" customHeight="false" outlineLevel="0" collapsed="false">
      <c r="A53" s="0" t="s">
        <v>740</v>
      </c>
      <c r="B53" s="0" t="s">
        <v>627</v>
      </c>
    </row>
    <row r="54" customFormat="false" ht="15" hidden="false" customHeight="false" outlineLevel="0" collapsed="false">
      <c r="A54" s="0" t="s">
        <v>741</v>
      </c>
      <c r="B54" s="0" t="s">
        <v>627</v>
      </c>
    </row>
    <row r="55" customFormat="false" ht="15" hidden="false" customHeight="false" outlineLevel="0" collapsed="false">
      <c r="A55" s="0" t="s">
        <v>612</v>
      </c>
      <c r="B55" s="0" t="s">
        <v>612</v>
      </c>
    </row>
    <row r="56" customFormat="false" ht="15" hidden="false" customHeight="false" outlineLevel="0" collapsed="false">
      <c r="A56" s="0" t="s">
        <v>742</v>
      </c>
      <c r="B56" s="0" t="s">
        <v>612</v>
      </c>
    </row>
    <row r="57" customFormat="false" ht="15" hidden="false" customHeight="false" outlineLevel="0" collapsed="false">
      <c r="A57" s="0" t="s">
        <v>743</v>
      </c>
      <c r="B57" s="0" t="s">
        <v>612</v>
      </c>
    </row>
    <row r="58" customFormat="false" ht="15" hidden="false" customHeight="false" outlineLevel="0" collapsed="false">
      <c r="A58" s="0" t="s">
        <v>744</v>
      </c>
      <c r="B58" s="0" t="s">
        <v>612</v>
      </c>
    </row>
    <row r="59" customFormat="false" ht="15" hidden="false" customHeight="false" outlineLevel="0" collapsed="false">
      <c r="A59" s="0" t="s">
        <v>542</v>
      </c>
      <c r="B59" s="0" t="s">
        <v>542</v>
      </c>
    </row>
    <row r="60" customFormat="false" ht="15" hidden="false" customHeight="false" outlineLevel="0" collapsed="false">
      <c r="A60" s="0" t="s">
        <v>745</v>
      </c>
      <c r="B60" s="0" t="s">
        <v>542</v>
      </c>
    </row>
    <row r="61" customFormat="false" ht="15" hidden="false" customHeight="false" outlineLevel="0" collapsed="false">
      <c r="A61" s="0" t="s">
        <v>746</v>
      </c>
      <c r="B61" s="0" t="s">
        <v>542</v>
      </c>
    </row>
    <row r="62" customFormat="false" ht="15" hidden="false" customHeight="false" outlineLevel="0" collapsed="false">
      <c r="A62" s="0" t="s">
        <v>477</v>
      </c>
      <c r="B62" s="0" t="s">
        <v>477</v>
      </c>
    </row>
    <row r="63" customFormat="false" ht="15" hidden="false" customHeight="false" outlineLevel="0" collapsed="false">
      <c r="A63" s="0" t="s">
        <v>747</v>
      </c>
      <c r="B63" s="0" t="s">
        <v>477</v>
      </c>
    </row>
    <row r="64" customFormat="false" ht="15" hidden="false" customHeight="false" outlineLevel="0" collapsed="false">
      <c r="A64" s="0" t="s">
        <v>748</v>
      </c>
      <c r="B64" s="0" t="s">
        <v>477</v>
      </c>
    </row>
    <row r="65" customFormat="false" ht="15" hidden="false" customHeight="false" outlineLevel="0" collapsed="false">
      <c r="A65" s="0" t="s">
        <v>749</v>
      </c>
      <c r="B65" s="0" t="s">
        <v>477</v>
      </c>
    </row>
    <row r="66" customFormat="false" ht="15" hidden="false" customHeight="false" outlineLevel="0" collapsed="false">
      <c r="A66" s="0" t="s">
        <v>310</v>
      </c>
      <c r="B66" s="0" t="s">
        <v>310</v>
      </c>
    </row>
    <row r="67" customFormat="false" ht="15" hidden="false" customHeight="false" outlineLevel="0" collapsed="false">
      <c r="A67" s="0" t="s">
        <v>750</v>
      </c>
      <c r="B67" s="0" t="s">
        <v>310</v>
      </c>
    </row>
    <row r="68" customFormat="false" ht="15" hidden="false" customHeight="false" outlineLevel="0" collapsed="false">
      <c r="A68" s="0" t="s">
        <v>751</v>
      </c>
      <c r="B68" s="0" t="s">
        <v>310</v>
      </c>
    </row>
    <row r="69" customFormat="false" ht="15" hidden="false" customHeight="false" outlineLevel="0" collapsed="false">
      <c r="A69" s="0" t="s">
        <v>752</v>
      </c>
      <c r="B69" s="0" t="s">
        <v>310</v>
      </c>
    </row>
    <row r="70" customFormat="false" ht="15" hidden="false" customHeight="false" outlineLevel="0" collapsed="false">
      <c r="A70" s="0" t="s">
        <v>753</v>
      </c>
      <c r="B70" s="0" t="s">
        <v>310</v>
      </c>
    </row>
    <row r="71" customFormat="false" ht="15" hidden="false" customHeight="false" outlineLevel="0" collapsed="false">
      <c r="A71" s="0" t="s">
        <v>312</v>
      </c>
      <c r="B71" s="0" t="s">
        <v>312</v>
      </c>
    </row>
    <row r="72" customFormat="false" ht="15" hidden="false" customHeight="false" outlineLevel="0" collapsed="false">
      <c r="A72" s="0" t="s">
        <v>754</v>
      </c>
      <c r="B72" s="0" t="s">
        <v>312</v>
      </c>
    </row>
    <row r="73" customFormat="false" ht="15" hidden="false" customHeight="false" outlineLevel="0" collapsed="false">
      <c r="A73" s="0" t="s">
        <v>755</v>
      </c>
      <c r="B73" s="0" t="s">
        <v>312</v>
      </c>
    </row>
    <row r="74" customFormat="false" ht="15" hidden="false" customHeight="false" outlineLevel="0" collapsed="false">
      <c r="A74" s="0" t="s">
        <v>756</v>
      </c>
      <c r="B74" s="0" t="s">
        <v>312</v>
      </c>
    </row>
    <row r="75" customFormat="false" ht="15" hidden="false" customHeight="false" outlineLevel="0" collapsed="false">
      <c r="A75" s="0" t="s">
        <v>757</v>
      </c>
      <c r="B75" s="0" t="s">
        <v>312</v>
      </c>
    </row>
    <row r="76" customFormat="false" ht="15" hidden="false" customHeight="false" outlineLevel="0" collapsed="false">
      <c r="A76" s="0" t="s">
        <v>131</v>
      </c>
      <c r="B76" s="0" t="s">
        <v>131</v>
      </c>
    </row>
    <row r="77" customFormat="false" ht="15" hidden="false" customHeight="false" outlineLevel="0" collapsed="false">
      <c r="A77" s="0" t="s">
        <v>758</v>
      </c>
      <c r="B77" s="0" t="s">
        <v>131</v>
      </c>
    </row>
    <row r="78" customFormat="false" ht="15" hidden="false" customHeight="false" outlineLevel="0" collapsed="false">
      <c r="A78" s="0" t="s">
        <v>759</v>
      </c>
      <c r="B78" s="0" t="s">
        <v>131</v>
      </c>
    </row>
    <row r="79" customFormat="false" ht="15" hidden="false" customHeight="false" outlineLevel="0" collapsed="false">
      <c r="A79" s="0" t="s">
        <v>760</v>
      </c>
      <c r="B79" s="0" t="s">
        <v>131</v>
      </c>
    </row>
    <row r="80" customFormat="false" ht="15" hidden="false" customHeight="false" outlineLevel="0" collapsed="false">
      <c r="A80" s="0" t="s">
        <v>761</v>
      </c>
      <c r="B80" s="0" t="s">
        <v>131</v>
      </c>
    </row>
    <row r="81" customFormat="false" ht="15" hidden="false" customHeight="false" outlineLevel="0" collapsed="false">
      <c r="A81" s="0" t="s">
        <v>762</v>
      </c>
      <c r="B81" s="0" t="s">
        <v>131</v>
      </c>
    </row>
    <row r="82" customFormat="false" ht="15" hidden="false" customHeight="false" outlineLevel="0" collapsed="false">
      <c r="A82" s="0" t="s">
        <v>520</v>
      </c>
      <c r="B82" s="0" t="s">
        <v>520</v>
      </c>
    </row>
    <row r="83" customFormat="false" ht="15" hidden="false" customHeight="false" outlineLevel="0" collapsed="false">
      <c r="A83" s="0" t="s">
        <v>763</v>
      </c>
      <c r="B83" s="0" t="s">
        <v>520</v>
      </c>
    </row>
    <row r="84" customFormat="false" ht="15" hidden="false" customHeight="false" outlineLevel="0" collapsed="false">
      <c r="A84" s="0" t="s">
        <v>369</v>
      </c>
      <c r="B84" s="0" t="s">
        <v>369</v>
      </c>
    </row>
    <row r="85" customFormat="false" ht="15" hidden="false" customHeight="false" outlineLevel="0" collapsed="false">
      <c r="A85" s="0" t="s">
        <v>764</v>
      </c>
      <c r="B85" s="0" t="s">
        <v>369</v>
      </c>
    </row>
    <row r="86" customFormat="false" ht="15" hidden="false" customHeight="false" outlineLevel="0" collapsed="false">
      <c r="A86" s="0" t="s">
        <v>765</v>
      </c>
      <c r="B86" s="0" t="s">
        <v>369</v>
      </c>
    </row>
    <row r="87" customFormat="false" ht="15" hidden="false" customHeight="false" outlineLevel="0" collapsed="false">
      <c r="A87" s="0" t="s">
        <v>548</v>
      </c>
      <c r="B87" s="0" t="s">
        <v>548</v>
      </c>
    </row>
    <row r="88" customFormat="false" ht="15" hidden="false" customHeight="false" outlineLevel="0" collapsed="false">
      <c r="A88" s="0" t="s">
        <v>766</v>
      </c>
      <c r="B88" s="0" t="s">
        <v>548</v>
      </c>
    </row>
    <row r="89" customFormat="false" ht="15" hidden="false" customHeight="false" outlineLevel="0" collapsed="false">
      <c r="A89" s="0" t="s">
        <v>767</v>
      </c>
      <c r="B89" s="0" t="s">
        <v>548</v>
      </c>
    </row>
    <row r="90" customFormat="false" ht="15" hidden="false" customHeight="false" outlineLevel="0" collapsed="false">
      <c r="A90" s="0" t="s">
        <v>452</v>
      </c>
      <c r="B90" s="0" t="s">
        <v>452</v>
      </c>
    </row>
    <row r="91" customFormat="false" ht="15" hidden="false" customHeight="false" outlineLevel="0" collapsed="false">
      <c r="A91" s="0" t="s">
        <v>768</v>
      </c>
      <c r="B91" s="0" t="s">
        <v>452</v>
      </c>
    </row>
    <row r="92" customFormat="false" ht="15" hidden="false" customHeight="false" outlineLevel="0" collapsed="false">
      <c r="A92" s="0" t="s">
        <v>318</v>
      </c>
      <c r="B92" s="0" t="s">
        <v>318</v>
      </c>
    </row>
    <row r="93" customFormat="false" ht="15" hidden="false" customHeight="false" outlineLevel="0" collapsed="false">
      <c r="A93" s="0" t="s">
        <v>769</v>
      </c>
      <c r="B93" s="0" t="s">
        <v>318</v>
      </c>
    </row>
    <row r="94" customFormat="false" ht="15" hidden="false" customHeight="false" outlineLevel="0" collapsed="false">
      <c r="A94" s="0" t="s">
        <v>380</v>
      </c>
      <c r="B94" s="0" t="s">
        <v>380</v>
      </c>
    </row>
    <row r="95" customFormat="false" ht="15" hidden="false" customHeight="false" outlineLevel="0" collapsed="false">
      <c r="A95" s="0" t="s">
        <v>770</v>
      </c>
      <c r="B95" s="0" t="s">
        <v>380</v>
      </c>
    </row>
    <row r="96" customFormat="false" ht="15" hidden="false" customHeight="false" outlineLevel="0" collapsed="false">
      <c r="A96" s="0" t="s">
        <v>771</v>
      </c>
      <c r="B96" s="0" t="s">
        <v>380</v>
      </c>
    </row>
    <row r="97" customFormat="false" ht="15" hidden="false" customHeight="false" outlineLevel="0" collapsed="false">
      <c r="A97" s="0" t="s">
        <v>280</v>
      </c>
      <c r="B97" s="0" t="s">
        <v>280</v>
      </c>
    </row>
    <row r="98" customFormat="false" ht="15" hidden="false" customHeight="false" outlineLevel="0" collapsed="false">
      <c r="A98" s="0" t="s">
        <v>772</v>
      </c>
      <c r="B98" s="0" t="s">
        <v>280</v>
      </c>
    </row>
    <row r="99" customFormat="false" ht="15" hidden="false" customHeight="false" outlineLevel="0" collapsed="false">
      <c r="A99" s="0" t="s">
        <v>773</v>
      </c>
      <c r="B99" s="0" t="s">
        <v>280</v>
      </c>
    </row>
    <row r="100" customFormat="false" ht="15" hidden="false" customHeight="false" outlineLevel="0" collapsed="false">
      <c r="A100" s="0" t="s">
        <v>774</v>
      </c>
      <c r="B100" s="0" t="s">
        <v>280</v>
      </c>
    </row>
    <row r="101" customFormat="false" ht="15" hidden="false" customHeight="false" outlineLevel="0" collapsed="false">
      <c r="A101" s="0" t="s">
        <v>283</v>
      </c>
      <c r="B101" s="0" t="s">
        <v>283</v>
      </c>
    </row>
    <row r="102" customFormat="false" ht="15" hidden="false" customHeight="false" outlineLevel="0" collapsed="false">
      <c r="A102" s="0" t="s">
        <v>775</v>
      </c>
      <c r="B102" s="0" t="s">
        <v>283</v>
      </c>
    </row>
    <row r="103" customFormat="false" ht="15" hidden="false" customHeight="false" outlineLevel="0" collapsed="false">
      <c r="A103" s="0" t="s">
        <v>776</v>
      </c>
      <c r="B103" s="0" t="s">
        <v>283</v>
      </c>
    </row>
    <row r="104" customFormat="false" ht="15" hidden="false" customHeight="false" outlineLevel="0" collapsed="false">
      <c r="A104" s="0" t="s">
        <v>366</v>
      </c>
      <c r="B104" s="0" t="s">
        <v>366</v>
      </c>
    </row>
    <row r="105" customFormat="false" ht="15" hidden="false" customHeight="false" outlineLevel="0" collapsed="false">
      <c r="A105" s="0" t="s">
        <v>777</v>
      </c>
      <c r="B105" s="0" t="s">
        <v>366</v>
      </c>
    </row>
    <row r="106" customFormat="false" ht="15" hidden="false" customHeight="false" outlineLevel="0" collapsed="false">
      <c r="A106" s="0" t="s">
        <v>778</v>
      </c>
      <c r="B106" s="0" t="s">
        <v>366</v>
      </c>
    </row>
    <row r="107" customFormat="false" ht="15" hidden="false" customHeight="false" outlineLevel="0" collapsed="false">
      <c r="A107" s="0" t="s">
        <v>779</v>
      </c>
      <c r="B107" s="0" t="s">
        <v>366</v>
      </c>
    </row>
    <row r="108" customFormat="false" ht="15" hidden="false" customHeight="false" outlineLevel="0" collapsed="false">
      <c r="A108" s="0" t="s">
        <v>780</v>
      </c>
      <c r="B108" s="0" t="s">
        <v>366</v>
      </c>
    </row>
    <row r="109" customFormat="false" ht="15" hidden="false" customHeight="false" outlineLevel="0" collapsed="false">
      <c r="A109" s="0" t="s">
        <v>781</v>
      </c>
      <c r="B109" s="0" t="s">
        <v>366</v>
      </c>
    </row>
    <row r="110" customFormat="false" ht="15" hidden="false" customHeight="false" outlineLevel="0" collapsed="false">
      <c r="A110" s="0" t="s">
        <v>558</v>
      </c>
      <c r="B110" s="0" t="s">
        <v>558</v>
      </c>
    </row>
    <row r="111" customFormat="false" ht="15" hidden="false" customHeight="false" outlineLevel="0" collapsed="false">
      <c r="A111" s="0" t="s">
        <v>782</v>
      </c>
      <c r="B111" s="0" t="s">
        <v>558</v>
      </c>
    </row>
    <row r="112" customFormat="false" ht="15" hidden="false" customHeight="false" outlineLevel="0" collapsed="false">
      <c r="A112" s="0" t="s">
        <v>783</v>
      </c>
      <c r="B112" s="0" t="s">
        <v>558</v>
      </c>
    </row>
    <row r="113" customFormat="false" ht="15" hidden="false" customHeight="false" outlineLevel="0" collapsed="false">
      <c r="A113" s="0" t="s">
        <v>784</v>
      </c>
      <c r="B113" s="0" t="s">
        <v>558</v>
      </c>
    </row>
    <row r="114" customFormat="false" ht="15" hidden="false" customHeight="false" outlineLevel="0" collapsed="false">
      <c r="A114" s="0" t="s">
        <v>785</v>
      </c>
      <c r="B114" s="0" t="s">
        <v>558</v>
      </c>
    </row>
    <row r="115" customFormat="false" ht="15" hidden="false" customHeight="false" outlineLevel="0" collapsed="false">
      <c r="A115" s="0" t="s">
        <v>786</v>
      </c>
      <c r="B115" s="0" t="s">
        <v>558</v>
      </c>
    </row>
    <row r="116" customFormat="false" ht="15" hidden="false" customHeight="false" outlineLevel="0" collapsed="false">
      <c r="A116" s="0" t="s">
        <v>576</v>
      </c>
      <c r="B116" s="0" t="s">
        <v>576</v>
      </c>
    </row>
    <row r="117" customFormat="false" ht="15" hidden="false" customHeight="false" outlineLevel="0" collapsed="false">
      <c r="A117" s="0" t="s">
        <v>787</v>
      </c>
      <c r="B117" s="0" t="s">
        <v>576</v>
      </c>
    </row>
    <row r="118" customFormat="false" ht="15" hidden="false" customHeight="false" outlineLevel="0" collapsed="false">
      <c r="A118" s="0" t="s">
        <v>788</v>
      </c>
      <c r="B118" s="0" t="s">
        <v>576</v>
      </c>
    </row>
    <row r="119" customFormat="false" ht="15" hidden="false" customHeight="false" outlineLevel="0" collapsed="false">
      <c r="A119" s="0" t="s">
        <v>789</v>
      </c>
      <c r="B119" s="0" t="s">
        <v>576</v>
      </c>
    </row>
    <row r="120" customFormat="false" ht="15" hidden="false" customHeight="false" outlineLevel="0" collapsed="false">
      <c r="A120" s="0" t="s">
        <v>790</v>
      </c>
      <c r="B120" s="0" t="s">
        <v>576</v>
      </c>
    </row>
    <row r="121" customFormat="false" ht="15" hidden="false" customHeight="false" outlineLevel="0" collapsed="false">
      <c r="A121" s="0" t="s">
        <v>600</v>
      </c>
      <c r="B121" s="0" t="s">
        <v>600</v>
      </c>
    </row>
    <row r="122" customFormat="false" ht="15" hidden="false" customHeight="false" outlineLevel="0" collapsed="false">
      <c r="A122" s="0" t="s">
        <v>791</v>
      </c>
      <c r="B122" s="0" t="s">
        <v>600</v>
      </c>
    </row>
    <row r="123" customFormat="false" ht="15" hidden="false" customHeight="false" outlineLevel="0" collapsed="false">
      <c r="A123" s="0" t="s">
        <v>792</v>
      </c>
      <c r="B123" s="0" t="s">
        <v>600</v>
      </c>
    </row>
    <row r="124" customFormat="false" ht="15" hidden="false" customHeight="false" outlineLevel="0" collapsed="false">
      <c r="A124" s="0" t="s">
        <v>515</v>
      </c>
      <c r="B124" s="0" t="s">
        <v>515</v>
      </c>
    </row>
    <row r="125" customFormat="false" ht="15" hidden="false" customHeight="false" outlineLevel="0" collapsed="false">
      <c r="A125" s="0" t="s">
        <v>793</v>
      </c>
      <c r="B125" s="0" t="s">
        <v>515</v>
      </c>
    </row>
    <row r="126" customFormat="false" ht="15" hidden="false" customHeight="false" outlineLevel="0" collapsed="false">
      <c r="A126" s="0" t="s">
        <v>794</v>
      </c>
      <c r="B126" s="0" t="s">
        <v>515</v>
      </c>
    </row>
    <row r="127" customFormat="false" ht="15" hidden="false" customHeight="false" outlineLevel="0" collapsed="false">
      <c r="A127" s="0" t="s">
        <v>465</v>
      </c>
      <c r="B127" s="0" t="s">
        <v>465</v>
      </c>
    </row>
    <row r="128" customFormat="false" ht="15" hidden="false" customHeight="false" outlineLevel="0" collapsed="false">
      <c r="A128" s="0" t="s">
        <v>795</v>
      </c>
      <c r="B128" s="0" t="s">
        <v>465</v>
      </c>
    </row>
    <row r="129" customFormat="false" ht="15" hidden="false" customHeight="false" outlineLevel="0" collapsed="false">
      <c r="A129" s="0" t="s">
        <v>796</v>
      </c>
      <c r="B129" s="0" t="s">
        <v>465</v>
      </c>
    </row>
    <row r="130" customFormat="false" ht="15" hidden="false" customHeight="false" outlineLevel="0" collapsed="false">
      <c r="A130" s="0" t="s">
        <v>797</v>
      </c>
      <c r="B130" s="0" t="s">
        <v>465</v>
      </c>
    </row>
    <row r="131" customFormat="false" ht="15" hidden="false" customHeight="false" outlineLevel="0" collapsed="false">
      <c r="A131" s="0" t="s">
        <v>798</v>
      </c>
      <c r="B131" s="0" t="s">
        <v>465</v>
      </c>
    </row>
    <row r="132" customFormat="false" ht="15" hidden="false" customHeight="false" outlineLevel="0" collapsed="false">
      <c r="A132" s="0" t="s">
        <v>799</v>
      </c>
      <c r="B132" s="0" t="s">
        <v>465</v>
      </c>
    </row>
    <row r="133" customFormat="false" ht="15" hidden="false" customHeight="false" outlineLevel="0" collapsed="false">
      <c r="A133" s="0" t="s">
        <v>631</v>
      </c>
      <c r="B133" s="0" t="s">
        <v>631</v>
      </c>
    </row>
    <row r="134" customFormat="false" ht="15" hidden="false" customHeight="false" outlineLevel="0" collapsed="false">
      <c r="A134" s="0" t="s">
        <v>800</v>
      </c>
      <c r="B134" s="0" t="s">
        <v>631</v>
      </c>
    </row>
    <row r="135" customFormat="false" ht="15" hidden="false" customHeight="false" outlineLevel="0" collapsed="false">
      <c r="A135" s="0" t="s">
        <v>801</v>
      </c>
      <c r="B135" s="0" t="s">
        <v>631</v>
      </c>
    </row>
    <row r="136" customFormat="false" ht="15" hidden="false" customHeight="false" outlineLevel="0" collapsed="false">
      <c r="A136" s="0" t="s">
        <v>802</v>
      </c>
      <c r="B136" s="0" t="s">
        <v>631</v>
      </c>
    </row>
    <row r="137" customFormat="false" ht="15" hidden="false" customHeight="false" outlineLevel="0" collapsed="false">
      <c r="A137" s="0" t="s">
        <v>803</v>
      </c>
      <c r="B137" s="0" t="s">
        <v>631</v>
      </c>
    </row>
    <row r="138" customFormat="false" ht="15" hidden="false" customHeight="false" outlineLevel="0" collapsed="false">
      <c r="A138" s="0" t="s">
        <v>493</v>
      </c>
      <c r="B138" s="0" t="s">
        <v>493</v>
      </c>
    </row>
    <row r="139" customFormat="false" ht="15" hidden="false" customHeight="false" outlineLevel="0" collapsed="false">
      <c r="A139" s="0" t="s">
        <v>804</v>
      </c>
      <c r="B139" s="0" t="s">
        <v>493</v>
      </c>
    </row>
    <row r="140" customFormat="false" ht="15" hidden="false" customHeight="false" outlineLevel="0" collapsed="false">
      <c r="A140" s="0" t="s">
        <v>805</v>
      </c>
      <c r="B140" s="0" t="s">
        <v>493</v>
      </c>
    </row>
    <row r="141" customFormat="false" ht="15" hidden="false" customHeight="false" outlineLevel="0" collapsed="false">
      <c r="A141" s="0" t="s">
        <v>518</v>
      </c>
      <c r="B141" s="0" t="s">
        <v>518</v>
      </c>
    </row>
    <row r="142" customFormat="false" ht="15" hidden="false" customHeight="false" outlineLevel="0" collapsed="false">
      <c r="A142" s="0" t="s">
        <v>806</v>
      </c>
      <c r="B142" s="0" t="s">
        <v>518</v>
      </c>
    </row>
    <row r="143" customFormat="false" ht="15" hidden="false" customHeight="false" outlineLevel="0" collapsed="false">
      <c r="A143" s="0" t="s">
        <v>807</v>
      </c>
      <c r="B143" s="0" t="s">
        <v>518</v>
      </c>
    </row>
    <row r="144" customFormat="false" ht="15" hidden="false" customHeight="false" outlineLevel="0" collapsed="false">
      <c r="A144" s="0" t="s">
        <v>350</v>
      </c>
      <c r="B144" s="0" t="s">
        <v>350</v>
      </c>
    </row>
    <row r="145" customFormat="false" ht="15" hidden="false" customHeight="false" outlineLevel="0" collapsed="false">
      <c r="A145" s="0" t="s">
        <v>808</v>
      </c>
      <c r="B145" s="0" t="s">
        <v>350</v>
      </c>
    </row>
    <row r="146" customFormat="false" ht="15" hidden="false" customHeight="false" outlineLevel="0" collapsed="false">
      <c r="A146" s="0" t="s">
        <v>809</v>
      </c>
      <c r="B146" s="0" t="s">
        <v>350</v>
      </c>
    </row>
    <row r="147" customFormat="false" ht="15" hidden="false" customHeight="false" outlineLevel="0" collapsed="false">
      <c r="A147" s="0" t="s">
        <v>333</v>
      </c>
      <c r="B147" s="0" t="s">
        <v>333</v>
      </c>
    </row>
    <row r="148" customFormat="false" ht="15" hidden="false" customHeight="false" outlineLevel="0" collapsed="false">
      <c r="A148" s="0" t="s">
        <v>810</v>
      </c>
      <c r="B148" s="0" t="s">
        <v>333</v>
      </c>
    </row>
    <row r="149" customFormat="false" ht="15" hidden="false" customHeight="false" outlineLevel="0" collapsed="false">
      <c r="A149" s="0" t="s">
        <v>811</v>
      </c>
      <c r="B149" s="0" t="s">
        <v>333</v>
      </c>
    </row>
    <row r="150" customFormat="false" ht="15" hidden="false" customHeight="false" outlineLevel="0" collapsed="false">
      <c r="A150" s="0" t="s">
        <v>331</v>
      </c>
      <c r="B150" s="0" t="s">
        <v>331</v>
      </c>
    </row>
    <row r="151" customFormat="false" ht="15" hidden="false" customHeight="false" outlineLevel="0" collapsed="false">
      <c r="A151" s="0" t="s">
        <v>812</v>
      </c>
      <c r="B151" s="0" t="s">
        <v>331</v>
      </c>
    </row>
    <row r="152" customFormat="false" ht="15" hidden="false" customHeight="false" outlineLevel="0" collapsed="false">
      <c r="A152" s="0" t="s">
        <v>339</v>
      </c>
      <c r="B152" s="0" t="s">
        <v>339</v>
      </c>
    </row>
    <row r="153" customFormat="false" ht="15" hidden="false" customHeight="false" outlineLevel="0" collapsed="false">
      <c r="A153" s="0" t="s">
        <v>813</v>
      </c>
      <c r="B153" s="0" t="s">
        <v>339</v>
      </c>
    </row>
    <row r="154" customFormat="false" ht="15" hidden="false" customHeight="false" outlineLevel="0" collapsed="false">
      <c r="A154" s="0" t="s">
        <v>614</v>
      </c>
      <c r="B154" s="0" t="s">
        <v>614</v>
      </c>
    </row>
    <row r="155" customFormat="false" ht="15" hidden="false" customHeight="false" outlineLevel="0" collapsed="false">
      <c r="A155" s="0" t="s">
        <v>814</v>
      </c>
      <c r="B155" s="0" t="s">
        <v>614</v>
      </c>
    </row>
    <row r="156" customFormat="false" ht="15" hidden="false" customHeight="false" outlineLevel="0" collapsed="false">
      <c r="A156" s="0" t="s">
        <v>815</v>
      </c>
      <c r="B156" s="0" t="s">
        <v>614</v>
      </c>
    </row>
    <row r="157" customFormat="false" ht="15" hidden="false" customHeight="false" outlineLevel="0" collapsed="false">
      <c r="A157" s="0" t="s">
        <v>816</v>
      </c>
      <c r="B157" s="0" t="s">
        <v>614</v>
      </c>
    </row>
    <row r="158" customFormat="false" ht="15" hidden="false" customHeight="false" outlineLevel="0" collapsed="false">
      <c r="A158" s="0" t="s">
        <v>817</v>
      </c>
      <c r="B158" s="0" t="s">
        <v>614</v>
      </c>
    </row>
    <row r="159" customFormat="false" ht="15" hidden="false" customHeight="false" outlineLevel="0" collapsed="false">
      <c r="A159" s="0" t="s">
        <v>511</v>
      </c>
      <c r="B159" s="0" t="s">
        <v>511</v>
      </c>
    </row>
    <row r="160" customFormat="false" ht="15" hidden="false" customHeight="false" outlineLevel="0" collapsed="false">
      <c r="A160" s="0" t="s">
        <v>818</v>
      </c>
      <c r="B160" s="0" t="s">
        <v>511</v>
      </c>
    </row>
    <row r="161" customFormat="false" ht="15" hidden="false" customHeight="false" outlineLevel="0" collapsed="false">
      <c r="A161" s="0" t="s">
        <v>525</v>
      </c>
      <c r="B161" s="0" t="s">
        <v>525</v>
      </c>
    </row>
    <row r="162" customFormat="false" ht="15" hidden="false" customHeight="false" outlineLevel="0" collapsed="false">
      <c r="A162" s="0" t="s">
        <v>819</v>
      </c>
      <c r="B162" s="0" t="s">
        <v>525</v>
      </c>
    </row>
    <row r="163" customFormat="false" ht="15" hidden="false" customHeight="false" outlineLevel="0" collapsed="false">
      <c r="A163" s="0" t="s">
        <v>305</v>
      </c>
      <c r="B163" s="0" t="s">
        <v>305</v>
      </c>
    </row>
    <row r="164" customFormat="false" ht="15" hidden="false" customHeight="false" outlineLevel="0" collapsed="false">
      <c r="A164" s="0" t="s">
        <v>820</v>
      </c>
      <c r="B164" s="0" t="s">
        <v>305</v>
      </c>
    </row>
    <row r="165" customFormat="false" ht="15" hidden="false" customHeight="false" outlineLevel="0" collapsed="false">
      <c r="A165" s="0" t="s">
        <v>579</v>
      </c>
      <c r="B165" s="0" t="s">
        <v>579</v>
      </c>
    </row>
    <row r="166" customFormat="false" ht="15" hidden="false" customHeight="false" outlineLevel="0" collapsed="false">
      <c r="A166" s="0" t="s">
        <v>821</v>
      </c>
      <c r="B166" s="0" t="s">
        <v>579</v>
      </c>
    </row>
    <row r="167" customFormat="false" ht="15" hidden="false" customHeight="false" outlineLevel="0" collapsed="false">
      <c r="A167" s="0" t="s">
        <v>822</v>
      </c>
      <c r="B167" s="0" t="s">
        <v>579</v>
      </c>
    </row>
    <row r="168" customFormat="false" ht="15" hidden="false" customHeight="false" outlineLevel="0" collapsed="false">
      <c r="A168" s="0" t="s">
        <v>823</v>
      </c>
      <c r="B168" s="0" t="s">
        <v>579</v>
      </c>
    </row>
    <row r="169" customFormat="false" ht="15" hidden="false" customHeight="false" outlineLevel="0" collapsed="false">
      <c r="A169" s="0" t="s">
        <v>824</v>
      </c>
      <c r="B169" s="0" t="s">
        <v>579</v>
      </c>
    </row>
    <row r="170" customFormat="false" ht="15" hidden="false" customHeight="false" outlineLevel="0" collapsed="false">
      <c r="A170" s="0" t="s">
        <v>374</v>
      </c>
      <c r="B170" s="0" t="s">
        <v>374</v>
      </c>
    </row>
    <row r="171" customFormat="false" ht="15" hidden="false" customHeight="false" outlineLevel="0" collapsed="false">
      <c r="A171" s="0" t="s">
        <v>825</v>
      </c>
      <c r="B171" s="0" t="s">
        <v>374</v>
      </c>
    </row>
    <row r="172" customFormat="false" ht="15" hidden="false" customHeight="false" outlineLevel="0" collapsed="false">
      <c r="A172" s="0" t="s">
        <v>826</v>
      </c>
      <c r="B172" s="0" t="s">
        <v>374</v>
      </c>
    </row>
    <row r="173" customFormat="false" ht="15" hidden="false" customHeight="false" outlineLevel="0" collapsed="false">
      <c r="A173" s="0" t="s">
        <v>827</v>
      </c>
      <c r="B173" s="0" t="s">
        <v>374</v>
      </c>
    </row>
    <row r="174" customFormat="false" ht="15" hidden="false" customHeight="false" outlineLevel="0" collapsed="false">
      <c r="A174" s="0" t="s">
        <v>828</v>
      </c>
      <c r="B174" s="0" t="s">
        <v>374</v>
      </c>
    </row>
    <row r="175" customFormat="false" ht="15" hidden="false" customHeight="false" outlineLevel="0" collapsed="false">
      <c r="A175" s="0" t="s">
        <v>395</v>
      </c>
      <c r="B175" s="0" t="s">
        <v>395</v>
      </c>
    </row>
    <row r="176" customFormat="false" ht="15" hidden="false" customHeight="false" outlineLevel="0" collapsed="false">
      <c r="A176" s="0" t="s">
        <v>829</v>
      </c>
      <c r="B176" s="0" t="s">
        <v>395</v>
      </c>
    </row>
    <row r="177" customFormat="false" ht="15" hidden="false" customHeight="false" outlineLevel="0" collapsed="false">
      <c r="A177" s="0" t="s">
        <v>496</v>
      </c>
      <c r="B177" s="0" t="s">
        <v>496</v>
      </c>
    </row>
    <row r="178" customFormat="false" ht="15" hidden="false" customHeight="false" outlineLevel="0" collapsed="false">
      <c r="A178" s="0" t="s">
        <v>830</v>
      </c>
      <c r="B178" s="0" t="s">
        <v>496</v>
      </c>
    </row>
    <row r="179" customFormat="false" ht="15" hidden="false" customHeight="false" outlineLevel="0" collapsed="false">
      <c r="A179" s="0" t="s">
        <v>831</v>
      </c>
      <c r="B179" s="0" t="s">
        <v>496</v>
      </c>
    </row>
    <row r="180" customFormat="false" ht="15" hidden="false" customHeight="false" outlineLevel="0" collapsed="false">
      <c r="A180" s="0" t="s">
        <v>399</v>
      </c>
      <c r="B180" s="0" t="s">
        <v>399</v>
      </c>
    </row>
    <row r="181" customFormat="false" ht="15" hidden="false" customHeight="false" outlineLevel="0" collapsed="false">
      <c r="A181" s="0" t="s">
        <v>832</v>
      </c>
      <c r="B181" s="0" t="s">
        <v>399</v>
      </c>
    </row>
    <row r="182" customFormat="false" ht="15" hidden="false" customHeight="false" outlineLevel="0" collapsed="false">
      <c r="A182" s="0" t="s">
        <v>581</v>
      </c>
      <c r="B182" s="0" t="s">
        <v>581</v>
      </c>
    </row>
    <row r="183" customFormat="false" ht="15" hidden="false" customHeight="false" outlineLevel="0" collapsed="false">
      <c r="A183" s="0" t="s">
        <v>833</v>
      </c>
      <c r="B183" s="0" t="s">
        <v>581</v>
      </c>
    </row>
    <row r="184" customFormat="false" ht="15" hidden="false" customHeight="false" outlineLevel="0" collapsed="false">
      <c r="A184" s="0" t="s">
        <v>425</v>
      </c>
      <c r="B184" s="0" t="s">
        <v>425</v>
      </c>
    </row>
    <row r="185" customFormat="false" ht="15" hidden="false" customHeight="false" outlineLevel="0" collapsed="false">
      <c r="A185" s="0" t="s">
        <v>834</v>
      </c>
      <c r="B185" s="0" t="s">
        <v>425</v>
      </c>
    </row>
    <row r="186" customFormat="false" ht="15" hidden="false" customHeight="false" outlineLevel="0" collapsed="false">
      <c r="A186" s="0" t="s">
        <v>457</v>
      </c>
      <c r="B186" s="0" t="s">
        <v>457</v>
      </c>
    </row>
    <row r="187" customFormat="false" ht="15" hidden="false" customHeight="false" outlineLevel="0" collapsed="false">
      <c r="A187" s="0" t="s">
        <v>835</v>
      </c>
      <c r="B187" s="0" t="s">
        <v>457</v>
      </c>
    </row>
    <row r="188" customFormat="false" ht="15" hidden="false" customHeight="false" outlineLevel="0" collapsed="false">
      <c r="A188" s="0" t="s">
        <v>514</v>
      </c>
      <c r="B188" s="0" t="s">
        <v>514</v>
      </c>
    </row>
    <row r="189" customFormat="false" ht="15" hidden="false" customHeight="false" outlineLevel="0" collapsed="false">
      <c r="A189" s="0" t="s">
        <v>836</v>
      </c>
      <c r="B189" s="0" t="s">
        <v>514</v>
      </c>
    </row>
    <row r="190" customFormat="false" ht="15" hidden="false" customHeight="false" outlineLevel="0" collapsed="false">
      <c r="A190" s="0" t="s">
        <v>837</v>
      </c>
      <c r="B190" s="0" t="s">
        <v>514</v>
      </c>
    </row>
    <row r="191" customFormat="false" ht="15" hidden="false" customHeight="false" outlineLevel="0" collapsed="false">
      <c r="A191" s="0" t="s">
        <v>527</v>
      </c>
      <c r="B191" s="0" t="s">
        <v>527</v>
      </c>
    </row>
    <row r="192" customFormat="false" ht="15" hidden="false" customHeight="false" outlineLevel="0" collapsed="false">
      <c r="A192" s="0" t="s">
        <v>838</v>
      </c>
      <c r="B192" s="0" t="s">
        <v>527</v>
      </c>
    </row>
    <row r="193" customFormat="false" ht="15" hidden="false" customHeight="false" outlineLevel="0" collapsed="false">
      <c r="A193" s="0" t="s">
        <v>839</v>
      </c>
      <c r="B193" s="0" t="s">
        <v>527</v>
      </c>
    </row>
    <row r="194" customFormat="false" ht="15" hidden="false" customHeight="false" outlineLevel="0" collapsed="false">
      <c r="A194" s="0" t="s">
        <v>474</v>
      </c>
      <c r="B194" s="0" t="s">
        <v>474</v>
      </c>
    </row>
    <row r="195" customFormat="false" ht="15" hidden="false" customHeight="false" outlineLevel="0" collapsed="false">
      <c r="A195" s="0" t="s">
        <v>840</v>
      </c>
      <c r="B195" s="0" t="s">
        <v>474</v>
      </c>
    </row>
    <row r="196" customFormat="false" ht="15" hidden="false" customHeight="false" outlineLevel="0" collapsed="false">
      <c r="A196" s="0" t="s">
        <v>841</v>
      </c>
      <c r="B196" s="0" t="s">
        <v>474</v>
      </c>
    </row>
    <row r="197" customFormat="false" ht="15" hidden="false" customHeight="false" outlineLevel="0" collapsed="false">
      <c r="A197" s="0" t="s">
        <v>284</v>
      </c>
      <c r="B197" s="0" t="s">
        <v>284</v>
      </c>
    </row>
    <row r="198" customFormat="false" ht="15" hidden="false" customHeight="false" outlineLevel="0" collapsed="false">
      <c r="A198" s="0" t="s">
        <v>842</v>
      </c>
      <c r="B198" s="0" t="s">
        <v>284</v>
      </c>
    </row>
    <row r="199" customFormat="false" ht="15" hidden="false" customHeight="false" outlineLevel="0" collapsed="false">
      <c r="A199" s="0" t="s">
        <v>455</v>
      </c>
      <c r="B199" s="0" t="s">
        <v>455</v>
      </c>
    </row>
    <row r="200" customFormat="false" ht="15" hidden="false" customHeight="false" outlineLevel="0" collapsed="false">
      <c r="A200" s="0" t="s">
        <v>843</v>
      </c>
      <c r="B200" s="0" t="s">
        <v>455</v>
      </c>
    </row>
    <row r="201" customFormat="false" ht="15" hidden="false" customHeight="false" outlineLevel="0" collapsed="false">
      <c r="A201" s="0" t="s">
        <v>844</v>
      </c>
      <c r="B201" s="0" t="s">
        <v>455</v>
      </c>
    </row>
    <row r="202" customFormat="false" ht="15" hidden="false" customHeight="false" outlineLevel="0" collapsed="false">
      <c r="A202" s="0" t="s">
        <v>845</v>
      </c>
      <c r="B202" s="0" t="s">
        <v>455</v>
      </c>
    </row>
    <row r="203" customFormat="false" ht="15" hidden="false" customHeight="false" outlineLevel="0" collapsed="false">
      <c r="A203" s="0" t="s">
        <v>590</v>
      </c>
      <c r="B203" s="0" t="s">
        <v>590</v>
      </c>
    </row>
    <row r="204" customFormat="false" ht="15" hidden="false" customHeight="false" outlineLevel="0" collapsed="false">
      <c r="A204" s="0" t="s">
        <v>846</v>
      </c>
      <c r="B204" s="0" t="s">
        <v>590</v>
      </c>
    </row>
    <row r="205" customFormat="false" ht="15" hidden="false" customHeight="false" outlineLevel="0" collapsed="false">
      <c r="A205" s="0" t="s">
        <v>847</v>
      </c>
      <c r="B205" s="0" t="s">
        <v>590</v>
      </c>
    </row>
    <row r="206" customFormat="false" ht="15" hidden="false" customHeight="false" outlineLevel="0" collapsed="false">
      <c r="A206" s="0" t="s">
        <v>536</v>
      </c>
      <c r="B206" s="0" t="s">
        <v>536</v>
      </c>
    </row>
    <row r="207" customFormat="false" ht="15" hidden="false" customHeight="false" outlineLevel="0" collapsed="false">
      <c r="A207" s="0" t="s">
        <v>848</v>
      </c>
      <c r="B207" s="0" t="s">
        <v>536</v>
      </c>
    </row>
    <row r="208" customFormat="false" ht="15" hidden="false" customHeight="false" outlineLevel="0" collapsed="false">
      <c r="A208" s="0" t="s">
        <v>849</v>
      </c>
      <c r="B208" s="0" t="s">
        <v>536</v>
      </c>
    </row>
    <row r="209" customFormat="false" ht="15" hidden="false" customHeight="false" outlineLevel="0" collapsed="false">
      <c r="A209" s="0" t="s">
        <v>533</v>
      </c>
      <c r="B209" s="0" t="s">
        <v>533</v>
      </c>
    </row>
    <row r="210" customFormat="false" ht="15" hidden="false" customHeight="false" outlineLevel="0" collapsed="false">
      <c r="A210" s="0" t="s">
        <v>850</v>
      </c>
      <c r="B210" s="0" t="s">
        <v>533</v>
      </c>
    </row>
    <row r="211" customFormat="false" ht="15" hidden="false" customHeight="false" outlineLevel="0" collapsed="false">
      <c r="A211" s="0" t="s">
        <v>851</v>
      </c>
      <c r="B211" s="0" t="s">
        <v>533</v>
      </c>
    </row>
    <row r="212" customFormat="false" ht="15" hidden="false" customHeight="false" outlineLevel="0" collapsed="false">
      <c r="A212" s="0" t="s">
        <v>571</v>
      </c>
      <c r="B212" s="0" t="s">
        <v>571</v>
      </c>
    </row>
    <row r="213" customFormat="false" ht="15" hidden="false" customHeight="false" outlineLevel="0" collapsed="false">
      <c r="A213" s="0" t="s">
        <v>852</v>
      </c>
      <c r="B213" s="0" t="s">
        <v>571</v>
      </c>
    </row>
    <row r="214" customFormat="false" ht="15" hidden="false" customHeight="false" outlineLevel="0" collapsed="false">
      <c r="A214" s="0" t="s">
        <v>853</v>
      </c>
      <c r="B214" s="0" t="s">
        <v>571</v>
      </c>
    </row>
    <row r="215" customFormat="false" ht="15" hidden="false" customHeight="false" outlineLevel="0" collapsed="false">
      <c r="A215" s="0" t="s">
        <v>610</v>
      </c>
      <c r="B215" s="0" t="s">
        <v>610</v>
      </c>
    </row>
    <row r="216" customFormat="false" ht="15" hidden="false" customHeight="false" outlineLevel="0" collapsed="false">
      <c r="A216" s="0" t="s">
        <v>854</v>
      </c>
      <c r="B216" s="0" t="s">
        <v>610</v>
      </c>
    </row>
    <row r="217" customFormat="false" ht="15" hidden="false" customHeight="false" outlineLevel="0" collapsed="false">
      <c r="A217" s="0" t="s">
        <v>334</v>
      </c>
      <c r="B217" s="0" t="s">
        <v>334</v>
      </c>
    </row>
    <row r="218" customFormat="false" ht="15" hidden="false" customHeight="false" outlineLevel="0" collapsed="false">
      <c r="A218" s="0" t="s">
        <v>855</v>
      </c>
      <c r="B218" s="0" t="s">
        <v>334</v>
      </c>
    </row>
    <row r="219" customFormat="false" ht="15" hidden="false" customHeight="false" outlineLevel="0" collapsed="false">
      <c r="A219" s="0" t="s">
        <v>856</v>
      </c>
      <c r="B219" s="0" t="s">
        <v>334</v>
      </c>
    </row>
    <row r="220" customFormat="false" ht="15" hidden="false" customHeight="false" outlineLevel="0" collapsed="false">
      <c r="A220" s="0" t="s">
        <v>561</v>
      </c>
      <c r="B220" s="0" t="s">
        <v>561</v>
      </c>
    </row>
    <row r="221" customFormat="false" ht="15" hidden="false" customHeight="false" outlineLevel="0" collapsed="false">
      <c r="A221" s="0" t="s">
        <v>857</v>
      </c>
      <c r="B221" s="0" t="s">
        <v>561</v>
      </c>
    </row>
    <row r="222" customFormat="false" ht="15" hidden="false" customHeight="false" outlineLevel="0" collapsed="false">
      <c r="A222" s="0" t="s">
        <v>858</v>
      </c>
      <c r="B222" s="0" t="s">
        <v>561</v>
      </c>
    </row>
    <row r="223" customFormat="false" ht="15" hidden="false" customHeight="false" outlineLevel="0" collapsed="false">
      <c r="A223" s="0" t="s">
        <v>859</v>
      </c>
      <c r="B223" s="0" t="s">
        <v>561</v>
      </c>
    </row>
    <row r="224" customFormat="false" ht="15" hidden="false" customHeight="false" outlineLevel="0" collapsed="false">
      <c r="A224" s="0" t="s">
        <v>860</v>
      </c>
      <c r="B224" s="0" t="s">
        <v>561</v>
      </c>
    </row>
    <row r="225" customFormat="false" ht="15" hidden="false" customHeight="false" outlineLevel="0" collapsed="false">
      <c r="A225" s="0" t="s">
        <v>861</v>
      </c>
      <c r="B225" s="0" t="s">
        <v>561</v>
      </c>
    </row>
    <row r="226" customFormat="false" ht="15" hidden="false" customHeight="false" outlineLevel="0" collapsed="false">
      <c r="A226" s="0" t="s">
        <v>449</v>
      </c>
      <c r="B226" s="0" t="s">
        <v>449</v>
      </c>
    </row>
    <row r="227" customFormat="false" ht="15" hidden="false" customHeight="false" outlineLevel="0" collapsed="false">
      <c r="A227" s="0" t="s">
        <v>862</v>
      </c>
      <c r="B227" s="0" t="s">
        <v>449</v>
      </c>
    </row>
    <row r="228" customFormat="false" ht="15" hidden="false" customHeight="false" outlineLevel="0" collapsed="false">
      <c r="A228" s="0" t="s">
        <v>863</v>
      </c>
      <c r="B228" s="0" t="s">
        <v>449</v>
      </c>
    </row>
    <row r="229" customFormat="false" ht="15" hidden="false" customHeight="false" outlineLevel="0" collapsed="false">
      <c r="A229" s="0" t="s">
        <v>864</v>
      </c>
      <c r="B229" s="0" t="s">
        <v>449</v>
      </c>
    </row>
    <row r="230" customFormat="false" ht="15" hidden="false" customHeight="false" outlineLevel="0" collapsed="false">
      <c r="A230" s="0" t="s">
        <v>412</v>
      </c>
      <c r="B230" s="0" t="s">
        <v>412</v>
      </c>
    </row>
    <row r="231" customFormat="false" ht="15" hidden="false" customHeight="false" outlineLevel="0" collapsed="false">
      <c r="A231" s="0" t="s">
        <v>865</v>
      </c>
      <c r="B231" s="0" t="s">
        <v>412</v>
      </c>
    </row>
    <row r="232" customFormat="false" ht="15" hidden="false" customHeight="false" outlineLevel="0" collapsed="false">
      <c r="A232" s="0" t="s">
        <v>866</v>
      </c>
      <c r="B232" s="0" t="s">
        <v>412</v>
      </c>
    </row>
    <row r="233" customFormat="false" ht="15" hidden="false" customHeight="false" outlineLevel="0" collapsed="false">
      <c r="A233" s="0" t="s">
        <v>441</v>
      </c>
      <c r="B233" s="0" t="s">
        <v>441</v>
      </c>
    </row>
    <row r="234" customFormat="false" ht="15" hidden="false" customHeight="false" outlineLevel="0" collapsed="false">
      <c r="A234" s="0" t="s">
        <v>867</v>
      </c>
      <c r="B234" s="0" t="s">
        <v>441</v>
      </c>
    </row>
    <row r="235" customFormat="false" ht="15" hidden="false" customHeight="false" outlineLevel="0" collapsed="false">
      <c r="A235" s="0" t="s">
        <v>868</v>
      </c>
      <c r="B235" s="0" t="s">
        <v>441</v>
      </c>
    </row>
    <row r="236" customFormat="false" ht="15" hidden="false" customHeight="false" outlineLevel="0" collapsed="false">
      <c r="A236" s="0" t="s">
        <v>320</v>
      </c>
      <c r="B236" s="0" t="s">
        <v>320</v>
      </c>
    </row>
    <row r="237" customFormat="false" ht="15" hidden="false" customHeight="false" outlineLevel="0" collapsed="false">
      <c r="A237" s="0" t="s">
        <v>869</v>
      </c>
      <c r="B237" s="0" t="s">
        <v>320</v>
      </c>
    </row>
    <row r="238" customFormat="false" ht="15" hidden="false" customHeight="false" outlineLevel="0" collapsed="false">
      <c r="A238" s="0" t="s">
        <v>870</v>
      </c>
      <c r="B238" s="0" t="s">
        <v>320</v>
      </c>
    </row>
    <row r="239" customFormat="false" ht="15" hidden="false" customHeight="false" outlineLevel="0" collapsed="false">
      <c r="A239" s="0" t="s">
        <v>621</v>
      </c>
      <c r="B239" s="0" t="s">
        <v>621</v>
      </c>
    </row>
    <row r="240" customFormat="false" ht="15" hidden="false" customHeight="false" outlineLevel="0" collapsed="false">
      <c r="A240" s="0" t="s">
        <v>871</v>
      </c>
      <c r="B240" s="0" t="s">
        <v>621</v>
      </c>
    </row>
    <row r="241" customFormat="false" ht="15" hidden="false" customHeight="false" outlineLevel="0" collapsed="false">
      <c r="A241" s="0" t="s">
        <v>872</v>
      </c>
      <c r="B241" s="0" t="s">
        <v>621</v>
      </c>
    </row>
    <row r="242" customFormat="false" ht="15" hidden="false" customHeight="false" outlineLevel="0" collapsed="false">
      <c r="A242" s="0" t="s">
        <v>873</v>
      </c>
      <c r="B242" s="0" t="s">
        <v>621</v>
      </c>
    </row>
    <row r="243" customFormat="false" ht="15" hidden="false" customHeight="false" outlineLevel="0" collapsed="false">
      <c r="A243" s="0" t="s">
        <v>874</v>
      </c>
      <c r="B243" s="0" t="s">
        <v>621</v>
      </c>
    </row>
    <row r="244" customFormat="false" ht="15" hidden="false" customHeight="false" outlineLevel="0" collapsed="false">
      <c r="A244" s="0" t="s">
        <v>409</v>
      </c>
      <c r="B244" s="0" t="s">
        <v>409</v>
      </c>
    </row>
    <row r="245" customFormat="false" ht="15" hidden="false" customHeight="false" outlineLevel="0" collapsed="false">
      <c r="A245" s="0" t="s">
        <v>875</v>
      </c>
      <c r="B245" s="0" t="s">
        <v>409</v>
      </c>
    </row>
    <row r="246" customFormat="false" ht="15" hidden="false" customHeight="false" outlineLevel="0" collapsed="false">
      <c r="A246" s="0" t="s">
        <v>876</v>
      </c>
      <c r="B246" s="0" t="s">
        <v>409</v>
      </c>
    </row>
    <row r="247" customFormat="false" ht="15" hidden="false" customHeight="false" outlineLevel="0" collapsed="false">
      <c r="A247" s="0" t="s">
        <v>414</v>
      </c>
      <c r="B247" s="0" t="s">
        <v>414</v>
      </c>
    </row>
    <row r="248" customFormat="false" ht="15" hidden="false" customHeight="false" outlineLevel="0" collapsed="false">
      <c r="A248" s="0" t="s">
        <v>877</v>
      </c>
      <c r="B248" s="0" t="s">
        <v>414</v>
      </c>
    </row>
    <row r="249" customFormat="false" ht="15" hidden="false" customHeight="false" outlineLevel="0" collapsed="false">
      <c r="A249" s="0" t="s">
        <v>878</v>
      </c>
      <c r="B249" s="0" t="s">
        <v>414</v>
      </c>
    </row>
    <row r="250" customFormat="false" ht="15" hidden="false" customHeight="false" outlineLevel="0" collapsed="false">
      <c r="A250" s="0" t="s">
        <v>404</v>
      </c>
      <c r="B250" s="0" t="s">
        <v>404</v>
      </c>
    </row>
    <row r="251" customFormat="false" ht="15" hidden="false" customHeight="false" outlineLevel="0" collapsed="false">
      <c r="A251" s="0" t="s">
        <v>879</v>
      </c>
      <c r="B251" s="0" t="s">
        <v>404</v>
      </c>
    </row>
    <row r="252" customFormat="false" ht="15" hidden="false" customHeight="false" outlineLevel="0" collapsed="false">
      <c r="A252" s="0" t="s">
        <v>497</v>
      </c>
      <c r="B252" s="0" t="s">
        <v>497</v>
      </c>
    </row>
    <row r="253" customFormat="false" ht="15" hidden="false" customHeight="false" outlineLevel="0" collapsed="false">
      <c r="A253" s="0" t="s">
        <v>880</v>
      </c>
      <c r="B253" s="0" t="s">
        <v>497</v>
      </c>
    </row>
    <row r="254" customFormat="false" ht="15" hidden="false" customHeight="false" outlineLevel="0" collapsed="false">
      <c r="A254" s="0" t="s">
        <v>586</v>
      </c>
      <c r="B254" s="0" t="s">
        <v>586</v>
      </c>
    </row>
    <row r="255" customFormat="false" ht="15" hidden="false" customHeight="false" outlineLevel="0" collapsed="false">
      <c r="A255" s="0" t="s">
        <v>881</v>
      </c>
      <c r="B255" s="0" t="s">
        <v>586</v>
      </c>
    </row>
    <row r="256" customFormat="false" ht="15" hidden="false" customHeight="false" outlineLevel="0" collapsed="false">
      <c r="A256" s="0" t="s">
        <v>603</v>
      </c>
      <c r="B256" s="0" t="s">
        <v>603</v>
      </c>
    </row>
    <row r="257" customFormat="false" ht="15" hidden="false" customHeight="false" outlineLevel="0" collapsed="false">
      <c r="A257" s="0" t="s">
        <v>882</v>
      </c>
      <c r="B257" s="0" t="s">
        <v>603</v>
      </c>
    </row>
    <row r="258" customFormat="false" ht="15" hidden="false" customHeight="false" outlineLevel="0" collapsed="false">
      <c r="A258" s="0" t="s">
        <v>439</v>
      </c>
      <c r="B258" s="0" t="s">
        <v>439</v>
      </c>
    </row>
    <row r="259" customFormat="false" ht="15" hidden="false" customHeight="false" outlineLevel="0" collapsed="false">
      <c r="A259" s="0" t="s">
        <v>883</v>
      </c>
      <c r="B259" s="0" t="s">
        <v>439</v>
      </c>
    </row>
    <row r="260" customFormat="false" ht="15" hidden="false" customHeight="false" outlineLevel="0" collapsed="false">
      <c r="A260" s="0" t="s">
        <v>584</v>
      </c>
      <c r="B260" s="0" t="s">
        <v>584</v>
      </c>
    </row>
    <row r="261" customFormat="false" ht="15" hidden="false" customHeight="false" outlineLevel="0" collapsed="false">
      <c r="A261" s="0" t="s">
        <v>884</v>
      </c>
      <c r="B261" s="0" t="s">
        <v>584</v>
      </c>
    </row>
    <row r="262" customFormat="false" ht="15" hidden="false" customHeight="false" outlineLevel="0" collapsed="false">
      <c r="A262" s="0" t="s">
        <v>885</v>
      </c>
      <c r="B262" s="0" t="s">
        <v>584</v>
      </c>
    </row>
    <row r="263" customFormat="false" ht="15" hidden="false" customHeight="false" outlineLevel="0" collapsed="false">
      <c r="A263" s="0" t="s">
        <v>886</v>
      </c>
      <c r="B263" s="0" t="s">
        <v>584</v>
      </c>
    </row>
    <row r="264" customFormat="false" ht="15" hidden="false" customHeight="false" outlineLevel="0" collapsed="false">
      <c r="A264" s="0" t="s">
        <v>887</v>
      </c>
      <c r="B264" s="0" t="s">
        <v>584</v>
      </c>
    </row>
    <row r="265" customFormat="false" ht="15" hidden="false" customHeight="false" outlineLevel="0" collapsed="false">
      <c r="A265" s="0" t="s">
        <v>470</v>
      </c>
      <c r="B265" s="0" t="s">
        <v>470</v>
      </c>
    </row>
    <row r="266" customFormat="false" ht="15" hidden="false" customHeight="false" outlineLevel="0" collapsed="false">
      <c r="A266" s="0" t="s">
        <v>888</v>
      </c>
      <c r="B266" s="0" t="s">
        <v>470</v>
      </c>
    </row>
    <row r="267" customFormat="false" ht="15" hidden="false" customHeight="false" outlineLevel="0" collapsed="false">
      <c r="A267" s="0" t="s">
        <v>889</v>
      </c>
      <c r="B267" s="0" t="s">
        <v>470</v>
      </c>
    </row>
    <row r="268" customFormat="false" ht="15" hidden="false" customHeight="false" outlineLevel="0" collapsed="false">
      <c r="A268" s="0" t="s">
        <v>890</v>
      </c>
      <c r="B268" s="0" t="s">
        <v>470</v>
      </c>
    </row>
    <row r="269" customFormat="false" ht="15" hidden="false" customHeight="false" outlineLevel="0" collapsed="false">
      <c r="A269" s="0" t="s">
        <v>891</v>
      </c>
      <c r="B269" s="0" t="s">
        <v>470</v>
      </c>
    </row>
    <row r="270" customFormat="false" ht="15" hidden="false" customHeight="false" outlineLevel="0" collapsed="false">
      <c r="A270" s="0" t="s">
        <v>530</v>
      </c>
      <c r="B270" s="0" t="s">
        <v>530</v>
      </c>
    </row>
    <row r="271" customFormat="false" ht="15" hidden="false" customHeight="false" outlineLevel="0" collapsed="false">
      <c r="A271" s="0" t="s">
        <v>892</v>
      </c>
      <c r="B271" s="0" t="s">
        <v>530</v>
      </c>
    </row>
    <row r="272" customFormat="false" ht="15" hidden="false" customHeight="false" outlineLevel="0" collapsed="false">
      <c r="A272" s="0" t="s">
        <v>893</v>
      </c>
      <c r="B272" s="0" t="s">
        <v>530</v>
      </c>
    </row>
    <row r="273" customFormat="false" ht="15" hidden="false" customHeight="false" outlineLevel="0" collapsed="false">
      <c r="A273" s="0" t="s">
        <v>894</v>
      </c>
      <c r="B273" s="0" t="s">
        <v>530</v>
      </c>
    </row>
    <row r="274" customFormat="false" ht="15" hidden="false" customHeight="false" outlineLevel="0" collapsed="false">
      <c r="A274" s="0" t="s">
        <v>895</v>
      </c>
      <c r="B274" s="0" t="s">
        <v>530</v>
      </c>
    </row>
    <row r="275" customFormat="false" ht="15" hidden="false" customHeight="false" outlineLevel="0" collapsed="false">
      <c r="A275" s="0" t="s">
        <v>896</v>
      </c>
      <c r="B275" s="0" t="s">
        <v>530</v>
      </c>
    </row>
    <row r="276" customFormat="false" ht="15" hidden="false" customHeight="false" outlineLevel="0" collapsed="false">
      <c r="A276" s="0" t="s">
        <v>596</v>
      </c>
      <c r="B276" s="0" t="s">
        <v>596</v>
      </c>
    </row>
    <row r="277" customFormat="false" ht="15" hidden="false" customHeight="false" outlineLevel="0" collapsed="false">
      <c r="A277" s="0" t="s">
        <v>897</v>
      </c>
      <c r="B277" s="0" t="s">
        <v>596</v>
      </c>
    </row>
    <row r="278" customFormat="false" ht="15" hidden="false" customHeight="false" outlineLevel="0" collapsed="false">
      <c r="A278" s="0" t="s">
        <v>386</v>
      </c>
      <c r="B278" s="0" t="s">
        <v>386</v>
      </c>
    </row>
    <row r="279" customFormat="false" ht="15" hidden="false" customHeight="false" outlineLevel="0" collapsed="false">
      <c r="A279" s="0" t="s">
        <v>898</v>
      </c>
      <c r="B279" s="0" t="s">
        <v>386</v>
      </c>
    </row>
    <row r="280" customFormat="false" ht="15" hidden="false" customHeight="false" outlineLevel="0" collapsed="false">
      <c r="A280" s="0" t="s">
        <v>564</v>
      </c>
      <c r="B280" s="0" t="s">
        <v>564</v>
      </c>
    </row>
    <row r="281" customFormat="false" ht="15" hidden="false" customHeight="false" outlineLevel="0" collapsed="false">
      <c r="A281" s="0" t="s">
        <v>899</v>
      </c>
      <c r="B281" s="0" t="s">
        <v>564</v>
      </c>
    </row>
    <row r="282" customFormat="false" ht="15" hidden="false" customHeight="false" outlineLevel="0" collapsed="false">
      <c r="A282" s="0" t="s">
        <v>304</v>
      </c>
      <c r="B282" s="0" t="s">
        <v>304</v>
      </c>
    </row>
    <row r="283" customFormat="false" ht="15" hidden="false" customHeight="false" outlineLevel="0" collapsed="false">
      <c r="A283" s="0" t="s">
        <v>900</v>
      </c>
      <c r="B283" s="0" t="s">
        <v>304</v>
      </c>
    </row>
    <row r="284" customFormat="false" ht="15" hidden="false" customHeight="false" outlineLevel="0" collapsed="false">
      <c r="A284" s="0" t="s">
        <v>569</v>
      </c>
      <c r="B284" s="0" t="s">
        <v>569</v>
      </c>
    </row>
    <row r="285" customFormat="false" ht="15" hidden="false" customHeight="false" outlineLevel="0" collapsed="false">
      <c r="A285" s="0" t="s">
        <v>901</v>
      </c>
      <c r="B285" s="0" t="s">
        <v>569</v>
      </c>
    </row>
    <row r="286" customFormat="false" ht="15" hidden="false" customHeight="false" outlineLevel="0" collapsed="false">
      <c r="A286" s="0" t="s">
        <v>902</v>
      </c>
      <c r="B286" s="0" t="s">
        <v>569</v>
      </c>
    </row>
    <row r="287" customFormat="false" ht="15" hidden="false" customHeight="false" outlineLevel="0" collapsed="false">
      <c r="A287" s="0" t="s">
        <v>903</v>
      </c>
      <c r="B287" s="0" t="s">
        <v>569</v>
      </c>
    </row>
    <row r="288" customFormat="false" ht="15" hidden="false" customHeight="false" outlineLevel="0" collapsed="false">
      <c r="A288" s="0" t="s">
        <v>904</v>
      </c>
      <c r="B288" s="0" t="s">
        <v>569</v>
      </c>
    </row>
    <row r="289" customFormat="false" ht="15" hidden="false" customHeight="false" outlineLevel="0" collapsed="false">
      <c r="A289" s="0" t="s">
        <v>372</v>
      </c>
      <c r="B289" s="0" t="s">
        <v>372</v>
      </c>
    </row>
    <row r="290" customFormat="false" ht="15" hidden="false" customHeight="false" outlineLevel="0" collapsed="false">
      <c r="A290" s="0" t="s">
        <v>905</v>
      </c>
      <c r="B290" s="0" t="s">
        <v>372</v>
      </c>
    </row>
    <row r="291" customFormat="false" ht="15" hidden="false" customHeight="false" outlineLevel="0" collapsed="false">
      <c r="A291" s="0" t="s">
        <v>906</v>
      </c>
      <c r="B291" s="0" t="s">
        <v>372</v>
      </c>
    </row>
    <row r="292" customFormat="false" ht="15" hidden="false" customHeight="false" outlineLevel="0" collapsed="false">
      <c r="A292" s="0" t="s">
        <v>907</v>
      </c>
      <c r="B292" s="0" t="s">
        <v>372</v>
      </c>
    </row>
    <row r="293" customFormat="false" ht="15" hidden="false" customHeight="false" outlineLevel="0" collapsed="false">
      <c r="A293" s="0" t="s">
        <v>908</v>
      </c>
      <c r="B293" s="0" t="s">
        <v>372</v>
      </c>
    </row>
    <row r="294" customFormat="false" ht="15" hidden="false" customHeight="false" outlineLevel="0" collapsed="false">
      <c r="A294" s="0" t="s">
        <v>481</v>
      </c>
      <c r="B294" s="0" t="s">
        <v>481</v>
      </c>
    </row>
    <row r="295" customFormat="false" ht="15" hidden="false" customHeight="false" outlineLevel="0" collapsed="false">
      <c r="A295" s="0" t="s">
        <v>909</v>
      </c>
      <c r="B295" s="0" t="s">
        <v>481</v>
      </c>
    </row>
    <row r="296" customFormat="false" ht="15" hidden="false" customHeight="false" outlineLevel="0" collapsed="false">
      <c r="A296" s="0" t="s">
        <v>910</v>
      </c>
      <c r="B296" s="0" t="s">
        <v>481</v>
      </c>
    </row>
    <row r="297" customFormat="false" ht="15" hidden="false" customHeight="false" outlineLevel="0" collapsed="false">
      <c r="A297" s="0" t="s">
        <v>911</v>
      </c>
      <c r="B297" s="0" t="s">
        <v>481</v>
      </c>
    </row>
    <row r="298" customFormat="false" ht="15" hidden="false" customHeight="false" outlineLevel="0" collapsed="false">
      <c r="A298" s="0" t="s">
        <v>912</v>
      </c>
      <c r="B298" s="0" t="s">
        <v>481</v>
      </c>
    </row>
    <row r="299" customFormat="false" ht="15" hidden="false" customHeight="false" outlineLevel="0" collapsed="false">
      <c r="A299" s="0" t="s">
        <v>359</v>
      </c>
      <c r="B299" s="0" t="s">
        <v>359</v>
      </c>
    </row>
    <row r="300" customFormat="false" ht="15" hidden="false" customHeight="false" outlineLevel="0" collapsed="false">
      <c r="A300" s="0" t="s">
        <v>913</v>
      </c>
      <c r="B300" s="0" t="s">
        <v>359</v>
      </c>
    </row>
    <row r="301" customFormat="false" ht="15" hidden="false" customHeight="false" outlineLevel="0" collapsed="false">
      <c r="A301" s="0" t="s">
        <v>914</v>
      </c>
      <c r="B301" s="0" t="s">
        <v>359</v>
      </c>
    </row>
    <row r="302" customFormat="false" ht="15" hidden="false" customHeight="false" outlineLevel="0" collapsed="false">
      <c r="A302" s="0" t="s">
        <v>915</v>
      </c>
      <c r="B302" s="0" t="s">
        <v>359</v>
      </c>
    </row>
    <row r="303" customFormat="false" ht="15" hidden="false" customHeight="false" outlineLevel="0" collapsed="false">
      <c r="A303" s="0" t="s">
        <v>406</v>
      </c>
      <c r="B303" s="0" t="s">
        <v>406</v>
      </c>
    </row>
    <row r="304" customFormat="false" ht="15" hidden="false" customHeight="false" outlineLevel="0" collapsed="false">
      <c r="A304" s="0" t="s">
        <v>916</v>
      </c>
      <c r="B304" s="0" t="s">
        <v>406</v>
      </c>
    </row>
    <row r="305" customFormat="false" ht="15" hidden="false" customHeight="false" outlineLevel="0" collapsed="false">
      <c r="A305" s="0" t="s">
        <v>917</v>
      </c>
      <c r="B305" s="0" t="s">
        <v>406</v>
      </c>
    </row>
    <row r="306" customFormat="false" ht="15" hidden="false" customHeight="false" outlineLevel="0" collapsed="false">
      <c r="A306" s="0" t="s">
        <v>918</v>
      </c>
      <c r="B306" s="0" t="s">
        <v>406</v>
      </c>
    </row>
    <row r="307" customFormat="false" ht="15" hidden="false" customHeight="false" outlineLevel="0" collapsed="false">
      <c r="A307" s="0" t="s">
        <v>378</v>
      </c>
      <c r="B307" s="0" t="s">
        <v>378</v>
      </c>
    </row>
    <row r="308" customFormat="false" ht="15" hidden="false" customHeight="false" outlineLevel="0" collapsed="false">
      <c r="A308" s="0" t="s">
        <v>919</v>
      </c>
      <c r="B308" s="0" t="s">
        <v>378</v>
      </c>
    </row>
    <row r="309" customFormat="false" ht="15" hidden="false" customHeight="false" outlineLevel="0" collapsed="false">
      <c r="A309" s="0" t="s">
        <v>407</v>
      </c>
      <c r="B309" s="0" t="s">
        <v>407</v>
      </c>
    </row>
    <row r="310" customFormat="false" ht="15" hidden="false" customHeight="false" outlineLevel="0" collapsed="false">
      <c r="A310" s="0" t="s">
        <v>920</v>
      </c>
      <c r="B310" s="0" t="s">
        <v>407</v>
      </c>
    </row>
    <row r="311" customFormat="false" ht="15" hidden="false" customHeight="false" outlineLevel="0" collapsed="false">
      <c r="A311" s="0" t="s">
        <v>921</v>
      </c>
      <c r="B311" s="0" t="s">
        <v>407</v>
      </c>
    </row>
    <row r="312" customFormat="false" ht="15" hidden="false" customHeight="false" outlineLevel="0" collapsed="false">
      <c r="A312" s="0" t="s">
        <v>539</v>
      </c>
      <c r="B312" s="0" t="s">
        <v>539</v>
      </c>
    </row>
    <row r="313" customFormat="false" ht="15" hidden="false" customHeight="false" outlineLevel="0" collapsed="false">
      <c r="A313" s="0" t="s">
        <v>922</v>
      </c>
      <c r="B313" s="0" t="s">
        <v>539</v>
      </c>
    </row>
    <row r="314" customFormat="false" ht="15" hidden="false" customHeight="false" outlineLevel="0" collapsed="false">
      <c r="A314" s="0" t="s">
        <v>361</v>
      </c>
      <c r="B314" s="0" t="s">
        <v>361</v>
      </c>
    </row>
    <row r="315" customFormat="false" ht="15" hidden="false" customHeight="false" outlineLevel="0" collapsed="false">
      <c r="A315" s="0" t="s">
        <v>923</v>
      </c>
      <c r="B315" s="0" t="s">
        <v>361</v>
      </c>
    </row>
    <row r="316" customFormat="false" ht="15" hidden="false" customHeight="false" outlineLevel="0" collapsed="false">
      <c r="A316" s="0" t="s">
        <v>593</v>
      </c>
      <c r="B316" s="0" t="s">
        <v>593</v>
      </c>
    </row>
    <row r="317" customFormat="false" ht="15" hidden="false" customHeight="false" outlineLevel="0" collapsed="false">
      <c r="A317" s="0" t="s">
        <v>924</v>
      </c>
      <c r="B317" s="0" t="s">
        <v>593</v>
      </c>
    </row>
    <row r="318" customFormat="false" ht="15" hidden="false" customHeight="false" outlineLevel="0" collapsed="false">
      <c r="A318" s="0" t="s">
        <v>347</v>
      </c>
      <c r="B318" s="0" t="s">
        <v>347</v>
      </c>
    </row>
    <row r="319" customFormat="false" ht="15" hidden="false" customHeight="false" outlineLevel="0" collapsed="false">
      <c r="A319" s="0" t="s">
        <v>925</v>
      </c>
      <c r="B319" s="0" t="s">
        <v>347</v>
      </c>
    </row>
    <row r="320" customFormat="false" ht="15" hidden="false" customHeight="false" outlineLevel="0" collapsed="false">
      <c r="A320" s="0" t="s">
        <v>926</v>
      </c>
      <c r="B320" s="0" t="s">
        <v>347</v>
      </c>
    </row>
    <row r="321" customFormat="false" ht="15" hidden="false" customHeight="false" outlineLevel="0" collapsed="false">
      <c r="A321" s="0" t="s">
        <v>487</v>
      </c>
      <c r="B321" s="0" t="s">
        <v>487</v>
      </c>
    </row>
    <row r="322" customFormat="false" ht="15" hidden="false" customHeight="false" outlineLevel="0" collapsed="false">
      <c r="A322" s="0" t="s">
        <v>927</v>
      </c>
      <c r="B322" s="0" t="s">
        <v>487</v>
      </c>
    </row>
    <row r="323" customFormat="false" ht="15" hidden="false" customHeight="false" outlineLevel="0" collapsed="false">
      <c r="A323" s="0" t="s">
        <v>928</v>
      </c>
      <c r="B323" s="0" t="s">
        <v>487</v>
      </c>
    </row>
    <row r="324" customFormat="false" ht="15" hidden="false" customHeight="false" outlineLevel="0" collapsed="false">
      <c r="A324" s="0" t="s">
        <v>376</v>
      </c>
      <c r="B324" s="0" t="s">
        <v>376</v>
      </c>
    </row>
    <row r="325" customFormat="false" ht="15" hidden="false" customHeight="false" outlineLevel="0" collapsed="false">
      <c r="A325" s="0" t="s">
        <v>929</v>
      </c>
      <c r="B325" s="0" t="s">
        <v>376</v>
      </c>
    </row>
    <row r="326" customFormat="false" ht="15" hidden="false" customHeight="false" outlineLevel="0" collapsed="false">
      <c r="A326" s="0" t="s">
        <v>377</v>
      </c>
      <c r="B326" s="0" t="s">
        <v>377</v>
      </c>
    </row>
    <row r="327" customFormat="false" ht="15" hidden="false" customHeight="false" outlineLevel="0" collapsed="false">
      <c r="A327" s="0" t="s">
        <v>930</v>
      </c>
      <c r="B327" s="0" t="s">
        <v>377</v>
      </c>
    </row>
    <row r="328" customFormat="false" ht="15" hidden="false" customHeight="false" outlineLevel="0" collapsed="false">
      <c r="A328" s="0" t="s">
        <v>417</v>
      </c>
      <c r="B328" s="0" t="s">
        <v>417</v>
      </c>
    </row>
    <row r="329" customFormat="false" ht="15" hidden="false" customHeight="false" outlineLevel="0" collapsed="false">
      <c r="A329" s="0" t="s">
        <v>931</v>
      </c>
      <c r="B329" s="0" t="s">
        <v>417</v>
      </c>
    </row>
    <row r="330" customFormat="false" ht="15" hidden="false" customHeight="false" outlineLevel="0" collapsed="false">
      <c r="A330" s="0" t="s">
        <v>419</v>
      </c>
      <c r="B330" s="0" t="s">
        <v>419</v>
      </c>
    </row>
    <row r="331" customFormat="false" ht="15" hidden="false" customHeight="false" outlineLevel="0" collapsed="false">
      <c r="A331" s="0" t="s">
        <v>932</v>
      </c>
      <c r="B331" s="0" t="s">
        <v>419</v>
      </c>
    </row>
    <row r="332" customFormat="false" ht="15" hidden="false" customHeight="false" outlineLevel="0" collapsed="false">
      <c r="A332" s="0" t="s">
        <v>933</v>
      </c>
      <c r="B332" s="0" t="s">
        <v>419</v>
      </c>
    </row>
    <row r="333" customFormat="false" ht="15" hidden="false" customHeight="false" outlineLevel="0" collapsed="false">
      <c r="A333" s="0" t="s">
        <v>934</v>
      </c>
      <c r="B333" s="0" t="s">
        <v>419</v>
      </c>
    </row>
    <row r="334" customFormat="false" ht="15" hidden="false" customHeight="false" outlineLevel="0" collapsed="false">
      <c r="A334" s="0" t="s">
        <v>935</v>
      </c>
      <c r="B334" s="0" t="s">
        <v>419</v>
      </c>
    </row>
    <row r="335" customFormat="false" ht="15" hidden="false" customHeight="false" outlineLevel="0" collapsed="false">
      <c r="A335" s="0" t="s">
        <v>451</v>
      </c>
      <c r="B335" s="0" t="s">
        <v>451</v>
      </c>
    </row>
    <row r="336" customFormat="false" ht="15" hidden="false" customHeight="false" outlineLevel="0" collapsed="false">
      <c r="A336" s="0" t="s">
        <v>936</v>
      </c>
      <c r="B336" s="0" t="s">
        <v>451</v>
      </c>
    </row>
    <row r="337" customFormat="false" ht="15" hidden="false" customHeight="false" outlineLevel="0" collapsed="false">
      <c r="A337" s="0" t="s">
        <v>937</v>
      </c>
      <c r="B337" s="0" t="s">
        <v>451</v>
      </c>
    </row>
    <row r="338" customFormat="false" ht="15" hidden="false" customHeight="false" outlineLevel="0" collapsed="false">
      <c r="A338" s="0" t="s">
        <v>938</v>
      </c>
      <c r="B338" s="0" t="s">
        <v>451</v>
      </c>
    </row>
    <row r="339" customFormat="false" ht="15" hidden="false" customHeight="false" outlineLevel="0" collapsed="false">
      <c r="A339" s="0" t="s">
        <v>939</v>
      </c>
      <c r="B339" s="0" t="s">
        <v>451</v>
      </c>
    </row>
    <row r="340" customFormat="false" ht="15" hidden="false" customHeight="false" outlineLevel="0" collapsed="false">
      <c r="A340" s="0" t="s">
        <v>447</v>
      </c>
      <c r="B340" s="0" t="s">
        <v>447</v>
      </c>
    </row>
    <row r="341" customFormat="false" ht="15" hidden="false" customHeight="false" outlineLevel="0" collapsed="false">
      <c r="A341" s="0" t="s">
        <v>940</v>
      </c>
      <c r="B341" s="0" t="s">
        <v>447</v>
      </c>
    </row>
    <row r="342" customFormat="false" ht="15" hidden="false" customHeight="false" outlineLevel="0" collapsed="false">
      <c r="A342" s="0" t="s">
        <v>941</v>
      </c>
      <c r="B342" s="0" t="s">
        <v>447</v>
      </c>
    </row>
    <row r="343" customFormat="false" ht="15" hidden="false" customHeight="false" outlineLevel="0" collapsed="false">
      <c r="A343" s="0" t="s">
        <v>942</v>
      </c>
      <c r="B343" s="0" t="s">
        <v>447</v>
      </c>
    </row>
    <row r="344" customFormat="false" ht="15" hidden="false" customHeight="false" outlineLevel="0" collapsed="false">
      <c r="A344" s="0" t="s">
        <v>943</v>
      </c>
      <c r="B344" s="0" t="s">
        <v>447</v>
      </c>
    </row>
    <row r="345" customFormat="false" ht="15" hidden="false" customHeight="false" outlineLevel="0" collapsed="false">
      <c r="A345" s="0" t="s">
        <v>428</v>
      </c>
      <c r="B345" s="0" t="s">
        <v>428</v>
      </c>
    </row>
    <row r="346" customFormat="false" ht="15" hidden="false" customHeight="false" outlineLevel="0" collapsed="false">
      <c r="A346" s="0" t="s">
        <v>944</v>
      </c>
      <c r="B346" s="0" t="s">
        <v>428</v>
      </c>
    </row>
    <row r="347" customFormat="false" ht="15" hidden="false" customHeight="false" outlineLevel="0" collapsed="false">
      <c r="A347" s="0" t="s">
        <v>338</v>
      </c>
      <c r="B347" s="0" t="s">
        <v>338</v>
      </c>
    </row>
    <row r="348" customFormat="false" ht="15" hidden="false" customHeight="false" outlineLevel="0" collapsed="false">
      <c r="A348" s="0" t="s">
        <v>945</v>
      </c>
      <c r="B348" s="0" t="s">
        <v>338</v>
      </c>
    </row>
    <row r="349" customFormat="false" ht="15" hidden="false" customHeight="false" outlineLevel="0" collapsed="false">
      <c r="A349" s="0" t="s">
        <v>337</v>
      </c>
      <c r="B349" s="0" t="s">
        <v>337</v>
      </c>
    </row>
    <row r="350" customFormat="false" ht="15" hidden="false" customHeight="false" outlineLevel="0" collapsed="false">
      <c r="A350" s="0" t="s">
        <v>946</v>
      </c>
      <c r="B350" s="0" t="s">
        <v>337</v>
      </c>
    </row>
    <row r="351" customFormat="false" ht="15" hidden="false" customHeight="false" outlineLevel="0" collapsed="false">
      <c r="A351" s="0" t="s">
        <v>573</v>
      </c>
      <c r="B351" s="0" t="s">
        <v>573</v>
      </c>
    </row>
    <row r="352" customFormat="false" ht="15" hidden="false" customHeight="false" outlineLevel="0" collapsed="false">
      <c r="A352" s="0" t="s">
        <v>947</v>
      </c>
      <c r="B352" s="0" t="s">
        <v>573</v>
      </c>
    </row>
    <row r="353" customFormat="false" ht="15" hidden="false" customHeight="false" outlineLevel="0" collapsed="false">
      <c r="A353" s="0" t="s">
        <v>524</v>
      </c>
      <c r="B353" s="0" t="s">
        <v>524</v>
      </c>
    </row>
    <row r="354" customFormat="false" ht="15" hidden="false" customHeight="false" outlineLevel="0" collapsed="false">
      <c r="A354" s="0" t="s">
        <v>948</v>
      </c>
      <c r="B354" s="0" t="s">
        <v>524</v>
      </c>
    </row>
    <row r="355" customFormat="false" ht="15" hidden="false" customHeight="false" outlineLevel="0" collapsed="false">
      <c r="A355" s="0" t="s">
        <v>949</v>
      </c>
      <c r="B355" s="0" t="s">
        <v>524</v>
      </c>
    </row>
    <row r="356" customFormat="false" ht="15" hidden="false" customHeight="false" outlineLevel="0" collapsed="false">
      <c r="A356" s="0" t="s">
        <v>383</v>
      </c>
      <c r="B356" s="0" t="s">
        <v>383</v>
      </c>
    </row>
    <row r="357" customFormat="false" ht="15" hidden="false" customHeight="false" outlineLevel="0" collapsed="false">
      <c r="A357" s="0" t="s">
        <v>950</v>
      </c>
      <c r="B357" s="0" t="s">
        <v>383</v>
      </c>
    </row>
    <row r="358" customFormat="false" ht="15" hidden="false" customHeight="false" outlineLevel="0" collapsed="false">
      <c r="A358" s="0" t="s">
        <v>951</v>
      </c>
      <c r="B358" s="0" t="s">
        <v>383</v>
      </c>
    </row>
    <row r="359" customFormat="false" ht="15" hidden="false" customHeight="false" outlineLevel="0" collapsed="false">
      <c r="A359" s="0" t="s">
        <v>952</v>
      </c>
      <c r="B359" s="0" t="s">
        <v>383</v>
      </c>
    </row>
    <row r="360" customFormat="false" ht="15" hidden="false" customHeight="false" outlineLevel="0" collapsed="false">
      <c r="A360" s="0" t="s">
        <v>953</v>
      </c>
      <c r="B360" s="0" t="s">
        <v>383</v>
      </c>
    </row>
    <row r="361" customFormat="false" ht="15" hidden="false" customHeight="false" outlineLevel="0" collapsed="false">
      <c r="A361" s="0" t="s">
        <v>293</v>
      </c>
      <c r="B361" s="0" t="s">
        <v>293</v>
      </c>
    </row>
    <row r="362" customFormat="false" ht="15" hidden="false" customHeight="false" outlineLevel="0" collapsed="false">
      <c r="A362" s="0" t="s">
        <v>954</v>
      </c>
      <c r="B362" s="0" t="s">
        <v>293</v>
      </c>
    </row>
    <row r="363" customFormat="false" ht="15" hidden="false" customHeight="false" outlineLevel="0" collapsed="false">
      <c r="A363" s="0" t="s">
        <v>955</v>
      </c>
      <c r="B363" s="0" t="s">
        <v>293</v>
      </c>
    </row>
    <row r="364" customFormat="false" ht="15" hidden="false" customHeight="false" outlineLevel="0" collapsed="false">
      <c r="A364" s="0" t="s">
        <v>956</v>
      </c>
      <c r="B364" s="0" t="s">
        <v>293</v>
      </c>
    </row>
    <row r="365" customFormat="false" ht="15" hidden="false" customHeight="false" outlineLevel="0" collapsed="false">
      <c r="A365" s="0" t="s">
        <v>957</v>
      </c>
      <c r="B365" s="0" t="s">
        <v>293</v>
      </c>
    </row>
    <row r="366" customFormat="false" ht="15" hidden="false" customHeight="false" outlineLevel="0" collapsed="false">
      <c r="A366" s="0" t="s">
        <v>290</v>
      </c>
      <c r="B366" s="0" t="s">
        <v>290</v>
      </c>
    </row>
    <row r="367" customFormat="false" ht="15" hidden="false" customHeight="false" outlineLevel="0" collapsed="false">
      <c r="A367" s="0" t="s">
        <v>958</v>
      </c>
      <c r="B367" s="0" t="s">
        <v>290</v>
      </c>
    </row>
    <row r="368" customFormat="false" ht="15" hidden="false" customHeight="false" outlineLevel="0" collapsed="false">
      <c r="A368" s="0" t="s">
        <v>959</v>
      </c>
      <c r="B368" s="0" t="s">
        <v>290</v>
      </c>
    </row>
    <row r="369" customFormat="false" ht="15" hidden="false" customHeight="false" outlineLevel="0" collapsed="false">
      <c r="A369" s="0" t="s">
        <v>960</v>
      </c>
      <c r="B369" s="0" t="s">
        <v>290</v>
      </c>
    </row>
    <row r="370" customFormat="false" ht="15" hidden="false" customHeight="false" outlineLevel="0" collapsed="false">
      <c r="A370" s="0" t="s">
        <v>961</v>
      </c>
      <c r="B370" s="0" t="s">
        <v>290</v>
      </c>
    </row>
    <row r="371" customFormat="false" ht="15" hidden="false" customHeight="false" outlineLevel="0" collapsed="false">
      <c r="A371" s="0" t="s">
        <v>962</v>
      </c>
      <c r="B371" s="0" t="s">
        <v>290</v>
      </c>
    </row>
    <row r="372" customFormat="false" ht="15" hidden="false" customHeight="false" outlineLevel="0" collapsed="false">
      <c r="A372" s="0" t="s">
        <v>323</v>
      </c>
      <c r="B372" s="0" t="s">
        <v>323</v>
      </c>
    </row>
    <row r="373" customFormat="false" ht="15" hidden="false" customHeight="false" outlineLevel="0" collapsed="false">
      <c r="A373" s="0" t="s">
        <v>963</v>
      </c>
      <c r="B373" s="0" t="s">
        <v>323</v>
      </c>
    </row>
    <row r="374" customFormat="false" ht="15" hidden="false" customHeight="false" outlineLevel="0" collapsed="false">
      <c r="A374" s="0" t="s">
        <v>964</v>
      </c>
      <c r="B374" s="0" t="s">
        <v>323</v>
      </c>
    </row>
    <row r="375" customFormat="false" ht="15" hidden="false" customHeight="false" outlineLevel="0" collapsed="false">
      <c r="A375" s="0" t="s">
        <v>965</v>
      </c>
      <c r="B375" s="0" t="s">
        <v>323</v>
      </c>
    </row>
    <row r="376" customFormat="false" ht="15" hidden="false" customHeight="false" outlineLevel="0" collapsed="false">
      <c r="A376" s="0" t="s">
        <v>966</v>
      </c>
      <c r="B376" s="0" t="s">
        <v>323</v>
      </c>
    </row>
    <row r="377" customFormat="false" ht="15" hidden="false" customHeight="false" outlineLevel="0" collapsed="false">
      <c r="A377" s="0" t="s">
        <v>390</v>
      </c>
      <c r="B377" s="0" t="s">
        <v>390</v>
      </c>
    </row>
    <row r="378" customFormat="false" ht="15" hidden="false" customHeight="false" outlineLevel="0" collapsed="false">
      <c r="A378" s="0" t="s">
        <v>967</v>
      </c>
      <c r="B378" s="0" t="s">
        <v>390</v>
      </c>
    </row>
    <row r="379" customFormat="false" ht="15" hidden="false" customHeight="false" outlineLevel="0" collapsed="false">
      <c r="A379" s="0" t="s">
        <v>968</v>
      </c>
      <c r="B379" s="0" t="s">
        <v>390</v>
      </c>
    </row>
    <row r="380" customFormat="false" ht="15" hidden="false" customHeight="false" outlineLevel="0" collapsed="false">
      <c r="A380" s="0" t="s">
        <v>969</v>
      </c>
      <c r="B380" s="0" t="s">
        <v>390</v>
      </c>
    </row>
    <row r="381" customFormat="false" ht="15" hidden="false" customHeight="false" outlineLevel="0" collapsed="false">
      <c r="A381" s="0" t="s">
        <v>970</v>
      </c>
      <c r="B381" s="0" t="s">
        <v>390</v>
      </c>
    </row>
    <row r="382" customFormat="false" ht="15" hidden="false" customHeight="false" outlineLevel="0" collapsed="false">
      <c r="A382" s="0" t="s">
        <v>397</v>
      </c>
      <c r="B382" s="0" t="s">
        <v>397</v>
      </c>
    </row>
    <row r="383" customFormat="false" ht="15" hidden="false" customHeight="false" outlineLevel="0" collapsed="false">
      <c r="A383" s="0" t="s">
        <v>971</v>
      </c>
      <c r="B383" s="0" t="s">
        <v>397</v>
      </c>
    </row>
    <row r="384" customFormat="false" ht="15" hidden="false" customHeight="false" outlineLevel="0" collapsed="false">
      <c r="A384" s="0" t="s">
        <v>307</v>
      </c>
      <c r="B384" s="0" t="s">
        <v>307</v>
      </c>
    </row>
    <row r="385" customFormat="false" ht="15" hidden="false" customHeight="false" outlineLevel="0" collapsed="false">
      <c r="A385" s="0" t="s">
        <v>972</v>
      </c>
      <c r="B385" s="0" t="s">
        <v>307</v>
      </c>
    </row>
    <row r="386" customFormat="false" ht="15" hidden="false" customHeight="false" outlineLevel="0" collapsed="false">
      <c r="A386" s="0" t="s">
        <v>973</v>
      </c>
      <c r="B386" s="0" t="s">
        <v>307</v>
      </c>
    </row>
    <row r="387" customFormat="false" ht="15" hidden="false" customHeight="false" outlineLevel="0" collapsed="false">
      <c r="A387" s="0" t="s">
        <v>974</v>
      </c>
      <c r="B387" s="0" t="s">
        <v>307</v>
      </c>
    </row>
    <row r="388" customFormat="false" ht="15" hidden="false" customHeight="false" outlineLevel="0" collapsed="false">
      <c r="A388" s="0" t="s">
        <v>478</v>
      </c>
      <c r="B388" s="0" t="s">
        <v>478</v>
      </c>
    </row>
    <row r="389" customFormat="false" ht="15" hidden="false" customHeight="false" outlineLevel="0" collapsed="false">
      <c r="A389" s="0" t="s">
        <v>975</v>
      </c>
      <c r="B389" s="0" t="s">
        <v>478</v>
      </c>
    </row>
    <row r="390" customFormat="false" ht="15" hidden="false" customHeight="false" outlineLevel="0" collapsed="false">
      <c r="A390" s="0" t="s">
        <v>976</v>
      </c>
      <c r="B390" s="0" t="s">
        <v>478</v>
      </c>
    </row>
    <row r="391" customFormat="false" ht="15" hidden="false" customHeight="false" outlineLevel="0" collapsed="false">
      <c r="A391" s="0" t="s">
        <v>479</v>
      </c>
      <c r="B391" s="0" t="s">
        <v>478</v>
      </c>
    </row>
    <row r="392" customFormat="false" ht="15" hidden="false" customHeight="false" outlineLevel="0" collapsed="false">
      <c r="A392" s="0" t="s">
        <v>977</v>
      </c>
      <c r="B392" s="0" t="s">
        <v>478</v>
      </c>
    </row>
    <row r="393" customFormat="false" ht="15" hidden="false" customHeight="false" outlineLevel="0" collapsed="false">
      <c r="A393" s="0" t="s">
        <v>566</v>
      </c>
      <c r="B393" s="0" t="s">
        <v>566</v>
      </c>
    </row>
    <row r="394" customFormat="false" ht="15" hidden="false" customHeight="false" outlineLevel="0" collapsed="false">
      <c r="A394" s="0" t="s">
        <v>978</v>
      </c>
      <c r="B394" s="0" t="s">
        <v>566</v>
      </c>
    </row>
    <row r="395" customFormat="false" ht="15" hidden="false" customHeight="false" outlineLevel="0" collapsed="false">
      <c r="A395" s="0" t="s">
        <v>979</v>
      </c>
      <c r="B395" s="0" t="s">
        <v>566</v>
      </c>
    </row>
    <row r="396" customFormat="false" ht="15" hidden="false" customHeight="false" outlineLevel="0" collapsed="false">
      <c r="A396" s="0" t="s">
        <v>619</v>
      </c>
      <c r="B396" s="0" t="s">
        <v>619</v>
      </c>
    </row>
    <row r="397" customFormat="false" ht="15" hidden="false" customHeight="false" outlineLevel="0" collapsed="false">
      <c r="A397" s="0" t="s">
        <v>980</v>
      </c>
      <c r="B397" s="0" t="s">
        <v>619</v>
      </c>
    </row>
    <row r="398" customFormat="false" ht="15" hidden="false" customHeight="false" outlineLevel="0" collapsed="false">
      <c r="A398" s="0" t="s">
        <v>616</v>
      </c>
      <c r="B398" s="0" t="s">
        <v>616</v>
      </c>
    </row>
    <row r="399" customFormat="false" ht="15" hidden="false" customHeight="false" outlineLevel="0" collapsed="false">
      <c r="A399" s="0" t="s">
        <v>981</v>
      </c>
      <c r="B399" s="0" t="s">
        <v>616</v>
      </c>
    </row>
    <row r="400" customFormat="false" ht="15" hidden="false" customHeight="false" outlineLevel="0" collapsed="false">
      <c r="A400" s="0" t="s">
        <v>982</v>
      </c>
      <c r="B400" s="0" t="s">
        <v>616</v>
      </c>
    </row>
    <row r="401" customFormat="false" ht="15" hidden="false" customHeight="false" outlineLevel="0" collapsed="false">
      <c r="A401" s="0" t="s">
        <v>983</v>
      </c>
      <c r="B401" s="0" t="s">
        <v>616</v>
      </c>
    </row>
    <row r="402" customFormat="false" ht="15" hidden="false" customHeight="false" outlineLevel="0" collapsed="false">
      <c r="A402" s="0" t="s">
        <v>316</v>
      </c>
      <c r="B402" s="0" t="s">
        <v>316</v>
      </c>
    </row>
    <row r="403" customFormat="false" ht="15" hidden="false" customHeight="false" outlineLevel="0" collapsed="false">
      <c r="A403" s="0" t="s">
        <v>984</v>
      </c>
      <c r="B403" s="0" t="s">
        <v>316</v>
      </c>
    </row>
    <row r="404" customFormat="false" ht="15" hidden="false" customHeight="false" outlineLevel="0" collapsed="false">
      <c r="A404" s="0" t="s">
        <v>985</v>
      </c>
      <c r="B404" s="0" t="s">
        <v>316</v>
      </c>
    </row>
    <row r="405" customFormat="false" ht="15" hidden="false" customHeight="false" outlineLevel="0" collapsed="false">
      <c r="A405" s="0" t="s">
        <v>986</v>
      </c>
      <c r="B405" s="0" t="s">
        <v>316</v>
      </c>
    </row>
    <row r="406" customFormat="false" ht="15" hidden="false" customHeight="false" outlineLevel="0" collapsed="false">
      <c r="A406" s="0" t="s">
        <v>544</v>
      </c>
      <c r="B406" s="0" t="s">
        <v>544</v>
      </c>
    </row>
    <row r="407" customFormat="false" ht="15" hidden="false" customHeight="false" outlineLevel="0" collapsed="false">
      <c r="A407" s="0" t="s">
        <v>987</v>
      </c>
      <c r="B407" s="0" t="s">
        <v>544</v>
      </c>
    </row>
    <row r="408" customFormat="false" ht="15" hidden="false" customHeight="false" outlineLevel="0" collapsed="false">
      <c r="A408" s="0" t="s">
        <v>301</v>
      </c>
      <c r="B408" s="0" t="s">
        <v>301</v>
      </c>
    </row>
    <row r="409" customFormat="false" ht="15" hidden="false" customHeight="false" outlineLevel="0" collapsed="false">
      <c r="A409" s="0" t="s">
        <v>988</v>
      </c>
      <c r="B409" s="0" t="s">
        <v>301</v>
      </c>
    </row>
    <row r="410" customFormat="false" ht="15" hidden="false" customHeight="false" outlineLevel="0" collapsed="false">
      <c r="A410" s="0" t="s">
        <v>989</v>
      </c>
      <c r="B410" s="0" t="s">
        <v>301</v>
      </c>
    </row>
    <row r="411" customFormat="false" ht="15" hidden="false" customHeight="false" outlineLevel="0" collapsed="false">
      <c r="A411" s="0" t="s">
        <v>604</v>
      </c>
      <c r="B411" s="0" t="s">
        <v>604</v>
      </c>
    </row>
    <row r="412" customFormat="false" ht="15" hidden="false" customHeight="false" outlineLevel="0" collapsed="false">
      <c r="A412" s="0" t="s">
        <v>990</v>
      </c>
      <c r="B412" s="0" t="s">
        <v>604</v>
      </c>
    </row>
    <row r="413" customFormat="false" ht="15" hidden="false" customHeight="false" outlineLevel="0" collapsed="false">
      <c r="A413" s="0" t="s">
        <v>991</v>
      </c>
      <c r="B413" s="0" t="s">
        <v>604</v>
      </c>
    </row>
    <row r="414" customFormat="false" ht="15" hidden="false" customHeight="false" outlineLevel="0" collapsed="false">
      <c r="A414" s="0" t="s">
        <v>556</v>
      </c>
      <c r="B414" s="0" t="s">
        <v>556</v>
      </c>
    </row>
    <row r="415" customFormat="false" ht="15" hidden="false" customHeight="false" outlineLevel="0" collapsed="false">
      <c r="A415" s="0" t="s">
        <v>992</v>
      </c>
      <c r="B415" s="0" t="s">
        <v>556</v>
      </c>
    </row>
    <row r="416" customFormat="false" ht="15" hidden="false" customHeight="false" outlineLevel="0" collapsed="false">
      <c r="A416" s="0" t="s">
        <v>365</v>
      </c>
      <c r="B416" s="0" t="s">
        <v>365</v>
      </c>
    </row>
    <row r="417" customFormat="false" ht="15" hidden="false" customHeight="false" outlineLevel="0" collapsed="false">
      <c r="A417" s="0" t="s">
        <v>993</v>
      </c>
      <c r="B417" s="0" t="s">
        <v>365</v>
      </c>
    </row>
    <row r="418" customFormat="false" ht="15" hidden="false" customHeight="false" outlineLevel="0" collapsed="false">
      <c r="A418" s="0" t="s">
        <v>364</v>
      </c>
      <c r="B418" s="0" t="s">
        <v>364</v>
      </c>
    </row>
    <row r="419" customFormat="false" ht="15" hidden="false" customHeight="false" outlineLevel="0" collapsed="false">
      <c r="A419" s="0" t="s">
        <v>994</v>
      </c>
      <c r="B419" s="0" t="s">
        <v>364</v>
      </c>
    </row>
    <row r="420" customFormat="false" ht="15" hidden="false" customHeight="false" outlineLevel="0" collapsed="false">
      <c r="A420" s="0" t="s">
        <v>508</v>
      </c>
      <c r="B420" s="0" t="s">
        <v>508</v>
      </c>
    </row>
    <row r="421" customFormat="false" ht="15" hidden="false" customHeight="false" outlineLevel="0" collapsed="false">
      <c r="A421" s="0" t="s">
        <v>995</v>
      </c>
      <c r="B421" s="0" t="s">
        <v>508</v>
      </c>
    </row>
    <row r="422" customFormat="false" ht="15" hidden="false" customHeight="false" outlineLevel="0" collapsed="false">
      <c r="A422" s="0" t="s">
        <v>996</v>
      </c>
      <c r="B422" s="0" t="s">
        <v>508</v>
      </c>
    </row>
    <row r="423" customFormat="false" ht="15" hidden="false" customHeight="false" outlineLevel="0" collapsed="false">
      <c r="A423" s="0" t="s">
        <v>554</v>
      </c>
      <c r="B423" s="0" t="s">
        <v>554</v>
      </c>
    </row>
    <row r="424" customFormat="false" ht="15" hidden="false" customHeight="false" outlineLevel="0" collapsed="false">
      <c r="A424" s="0" t="s">
        <v>997</v>
      </c>
      <c r="B424" s="0" t="s">
        <v>554</v>
      </c>
    </row>
    <row r="425" customFormat="false" ht="15" hidden="false" customHeight="false" outlineLevel="0" collapsed="false">
      <c r="A425" s="0" t="s">
        <v>998</v>
      </c>
      <c r="B425" s="0" t="s">
        <v>554</v>
      </c>
    </row>
    <row r="426" customFormat="false" ht="15" hidden="false" customHeight="false" outlineLevel="0" collapsed="false">
      <c r="A426" s="0" t="s">
        <v>435</v>
      </c>
      <c r="B426" s="0" t="s">
        <v>435</v>
      </c>
    </row>
    <row r="427" customFormat="false" ht="15" hidden="false" customHeight="false" outlineLevel="0" collapsed="false">
      <c r="A427" s="0" t="s">
        <v>999</v>
      </c>
      <c r="B427" s="0" t="s">
        <v>435</v>
      </c>
    </row>
    <row r="428" customFormat="false" ht="15" hidden="false" customHeight="false" outlineLevel="0" collapsed="false">
      <c r="A428" s="0" t="s">
        <v>607</v>
      </c>
      <c r="B428" s="0" t="s">
        <v>607</v>
      </c>
    </row>
    <row r="429" customFormat="false" ht="15" hidden="false" customHeight="false" outlineLevel="0" collapsed="false">
      <c r="A429" s="0" t="s">
        <v>1000</v>
      </c>
      <c r="B429" s="0" t="s">
        <v>607</v>
      </c>
    </row>
    <row r="430" customFormat="false" ht="15" hidden="false" customHeight="false" outlineLevel="0" collapsed="false">
      <c r="A430" s="0" t="s">
        <v>1001</v>
      </c>
      <c r="B430" s="0" t="s">
        <v>607</v>
      </c>
    </row>
    <row r="431" customFormat="false" ht="15" hidden="false" customHeight="false" outlineLevel="0" collapsed="false">
      <c r="A431" s="0" t="s">
        <v>1002</v>
      </c>
      <c r="B431" s="0" t="s">
        <v>607</v>
      </c>
    </row>
    <row r="432" customFormat="false" ht="15" hidden="false" customHeight="false" outlineLevel="0" collapsed="false">
      <c r="A432" s="0" t="s">
        <v>1003</v>
      </c>
      <c r="B432" s="0" t="s">
        <v>607</v>
      </c>
    </row>
    <row r="433" customFormat="false" ht="15" hidden="false" customHeight="false" outlineLevel="0" collapsed="false">
      <c r="A433" s="0" t="s">
        <v>393</v>
      </c>
      <c r="B433" s="0" t="s">
        <v>393</v>
      </c>
    </row>
    <row r="434" customFormat="false" ht="15" hidden="false" customHeight="false" outlineLevel="0" collapsed="false">
      <c r="A434" s="0" t="s">
        <v>1004</v>
      </c>
      <c r="B434" s="0" t="s">
        <v>393</v>
      </c>
    </row>
    <row r="435" customFormat="false" ht="15" hidden="false" customHeight="false" outlineLevel="0" collapsed="false">
      <c r="A435" s="0" t="s">
        <v>1005</v>
      </c>
      <c r="B435" s="0" t="s">
        <v>393</v>
      </c>
    </row>
    <row r="436" customFormat="false" ht="15" hidden="false" customHeight="false" outlineLevel="0" collapsed="false">
      <c r="A436" s="0" t="s">
        <v>1006</v>
      </c>
      <c r="B436" s="0" t="s">
        <v>393</v>
      </c>
    </row>
    <row r="437" customFormat="false" ht="15" hidden="false" customHeight="false" outlineLevel="0" collapsed="false">
      <c r="A437" s="0" t="s">
        <v>546</v>
      </c>
      <c r="B437" s="0" t="s">
        <v>546</v>
      </c>
    </row>
    <row r="438" customFormat="false" ht="15" hidden="false" customHeight="false" outlineLevel="0" collapsed="false">
      <c r="A438" s="0" t="s">
        <v>1007</v>
      </c>
      <c r="B438" s="0" t="s">
        <v>546</v>
      </c>
    </row>
    <row r="439" customFormat="false" ht="15" hidden="false" customHeight="false" outlineLevel="0" collapsed="false">
      <c r="A439" s="0" t="s">
        <v>1008</v>
      </c>
      <c r="B439" s="0" t="s">
        <v>546</v>
      </c>
    </row>
    <row r="440" customFormat="false" ht="15" hidden="false" customHeight="false" outlineLevel="0" collapsed="false">
      <c r="A440" s="0" t="s">
        <v>356</v>
      </c>
      <c r="B440" s="0" t="s">
        <v>356</v>
      </c>
    </row>
    <row r="441" customFormat="false" ht="15" hidden="false" customHeight="false" outlineLevel="0" collapsed="false">
      <c r="A441" s="0" t="s">
        <v>1009</v>
      </c>
      <c r="B441" s="0" t="s">
        <v>356</v>
      </c>
    </row>
    <row r="442" customFormat="false" ht="15" hidden="false" customHeight="false" outlineLevel="0" collapsed="false">
      <c r="A442" s="0" t="s">
        <v>1010</v>
      </c>
      <c r="B442" s="0" t="s">
        <v>356</v>
      </c>
    </row>
    <row r="443" customFormat="false" ht="15" hidden="false" customHeight="false" outlineLevel="0" collapsed="false">
      <c r="A443" s="0" t="s">
        <v>353</v>
      </c>
      <c r="B443" s="0" t="s">
        <v>353</v>
      </c>
    </row>
    <row r="444" customFormat="false" ht="15" hidden="false" customHeight="false" outlineLevel="0" collapsed="false">
      <c r="A444" s="0" t="s">
        <v>1011</v>
      </c>
      <c r="B444" s="0" t="s">
        <v>353</v>
      </c>
    </row>
    <row r="445" customFormat="false" ht="15" hidden="false" customHeight="false" outlineLevel="0" collapsed="false">
      <c r="A445" s="0" t="s">
        <v>1012</v>
      </c>
      <c r="B445" s="0" t="s">
        <v>353</v>
      </c>
    </row>
    <row r="446" customFormat="false" ht="15" hidden="false" customHeight="false" outlineLevel="0" collapsed="false">
      <c r="A446" s="0" t="s">
        <v>484</v>
      </c>
      <c r="B446" s="0" t="s">
        <v>484</v>
      </c>
    </row>
    <row r="447" customFormat="false" ht="15" hidden="false" customHeight="false" outlineLevel="0" collapsed="false">
      <c r="A447" s="0" t="s">
        <v>1013</v>
      </c>
      <c r="B447" s="0" t="s">
        <v>484</v>
      </c>
    </row>
    <row r="448" customFormat="false" ht="15" hidden="false" customHeight="false" outlineLevel="0" collapsed="false">
      <c r="A448" s="0" t="s">
        <v>1014</v>
      </c>
      <c r="B448" s="0" t="s">
        <v>484</v>
      </c>
    </row>
    <row r="449" customFormat="false" ht="15" hidden="false" customHeight="false" outlineLevel="0" collapsed="false">
      <c r="A449" s="0" t="s">
        <v>286</v>
      </c>
      <c r="B449" s="0" t="s">
        <v>286</v>
      </c>
    </row>
    <row r="450" customFormat="false" ht="15" hidden="false" customHeight="false" outlineLevel="0" collapsed="false">
      <c r="A450" s="0" t="s">
        <v>1015</v>
      </c>
      <c r="B450" s="0" t="s">
        <v>286</v>
      </c>
    </row>
    <row r="451" customFormat="false" ht="15" hidden="false" customHeight="false" outlineLevel="0" collapsed="false">
      <c r="A451" s="0" t="s">
        <v>1016</v>
      </c>
      <c r="B451" s="0" t="s">
        <v>286</v>
      </c>
    </row>
    <row r="452" customFormat="false" ht="15" hidden="false" customHeight="false" outlineLevel="0" collapsed="false">
      <c r="A452" s="0" t="s">
        <v>444</v>
      </c>
      <c r="B452" s="0" t="s">
        <v>444</v>
      </c>
    </row>
    <row r="453" customFormat="false" ht="15" hidden="false" customHeight="false" outlineLevel="0" collapsed="false">
      <c r="A453" s="0" t="s">
        <v>1017</v>
      </c>
      <c r="B453" s="0" t="s">
        <v>444</v>
      </c>
    </row>
    <row r="454" customFormat="false" ht="15" hidden="false" customHeight="false" outlineLevel="0" collapsed="false">
      <c r="A454" s="0" t="s">
        <v>1018</v>
      </c>
      <c r="B454" s="0" t="s">
        <v>444</v>
      </c>
    </row>
    <row r="455" customFormat="false" ht="15" hidden="false" customHeight="false" outlineLevel="0" collapsed="false">
      <c r="A455" s="0" t="s">
        <v>446</v>
      </c>
      <c r="B455" s="0" t="s">
        <v>446</v>
      </c>
    </row>
    <row r="456" customFormat="false" ht="15" hidden="false" customHeight="false" outlineLevel="0" collapsed="false">
      <c r="A456" s="0" t="s">
        <v>1019</v>
      </c>
      <c r="B456" s="0" t="s">
        <v>446</v>
      </c>
    </row>
    <row r="457" customFormat="false" ht="15" hidden="false" customHeight="false" outlineLevel="0" collapsed="false">
      <c r="A457" s="0" t="s">
        <v>588</v>
      </c>
      <c r="B457" s="0" t="s">
        <v>588</v>
      </c>
    </row>
    <row r="458" customFormat="false" ht="15" hidden="false" customHeight="false" outlineLevel="0" collapsed="false">
      <c r="A458" s="0" t="s">
        <v>1020</v>
      </c>
      <c r="B458" s="0" t="s">
        <v>588</v>
      </c>
    </row>
    <row r="459" customFormat="false" ht="15" hidden="false" customHeight="false" outlineLevel="0" collapsed="false">
      <c r="A459" s="0" t="s">
        <v>1021</v>
      </c>
      <c r="B459" s="0" t="s">
        <v>588</v>
      </c>
    </row>
    <row r="460" customFormat="false" ht="15" hidden="false" customHeight="false" outlineLevel="0" collapsed="false">
      <c r="A460" s="0" t="s">
        <v>342</v>
      </c>
      <c r="B460" s="0" t="s">
        <v>342</v>
      </c>
    </row>
    <row r="461" customFormat="false" ht="15" hidden="false" customHeight="false" outlineLevel="0" collapsed="false">
      <c r="A461" s="0" t="s">
        <v>1022</v>
      </c>
      <c r="B461" s="0" t="s">
        <v>342</v>
      </c>
    </row>
    <row r="462" customFormat="false" ht="15" hidden="false" customHeight="false" outlineLevel="0" collapsed="false">
      <c r="A462" s="0" t="s">
        <v>503</v>
      </c>
      <c r="B462" s="0" t="s">
        <v>503</v>
      </c>
    </row>
    <row r="463" customFormat="false" ht="15" hidden="false" customHeight="false" outlineLevel="0" collapsed="false">
      <c r="A463" s="0" t="s">
        <v>1023</v>
      </c>
      <c r="B463" s="0" t="s">
        <v>503</v>
      </c>
    </row>
    <row r="464" customFormat="false" ht="15" hidden="false" customHeight="false" outlineLevel="0" collapsed="false">
      <c r="A464" s="0" t="s">
        <v>490</v>
      </c>
      <c r="B464" s="0" t="s">
        <v>490</v>
      </c>
    </row>
    <row r="465" customFormat="false" ht="15" hidden="false" customHeight="false" outlineLevel="0" collapsed="false">
      <c r="A465" s="0" t="s">
        <v>1024</v>
      </c>
      <c r="B465" s="0" t="s">
        <v>490</v>
      </c>
    </row>
    <row r="466" customFormat="false" ht="15" hidden="false" customHeight="false" outlineLevel="0" collapsed="false">
      <c r="A466" s="0" t="s">
        <v>1025</v>
      </c>
      <c r="B466" s="0" t="s">
        <v>490</v>
      </c>
    </row>
    <row r="467" customFormat="false" ht="15" hidden="false" customHeight="false" outlineLevel="0" collapsed="false">
      <c r="A467" s="0" t="s">
        <v>296</v>
      </c>
      <c r="B467" s="0" t="s">
        <v>296</v>
      </c>
    </row>
    <row r="468" customFormat="false" ht="15" hidden="false" customHeight="false" outlineLevel="0" collapsed="false">
      <c r="A468" s="0" t="s">
        <v>1026</v>
      </c>
      <c r="B468" s="0" t="s">
        <v>296</v>
      </c>
    </row>
    <row r="469" customFormat="false" ht="15" hidden="false" customHeight="false" outlineLevel="0" collapsed="false">
      <c r="A469" s="0" t="s">
        <v>402</v>
      </c>
      <c r="B469" s="0" t="s">
        <v>402</v>
      </c>
    </row>
    <row r="470" customFormat="false" ht="15" hidden="false" customHeight="false" outlineLevel="0" collapsed="false">
      <c r="A470" s="0" t="s">
        <v>1027</v>
      </c>
      <c r="B470" s="0" t="s">
        <v>402</v>
      </c>
    </row>
    <row r="471" customFormat="false" ht="15" hidden="false" customHeight="false" outlineLevel="0" collapsed="false">
      <c r="A471" s="0" t="s">
        <v>1028</v>
      </c>
      <c r="B471" s="0" t="s">
        <v>402</v>
      </c>
    </row>
    <row r="472" customFormat="false" ht="15" hidden="false" customHeight="false" outlineLevel="0" collapsed="false">
      <c r="A472" s="0" t="s">
        <v>1029</v>
      </c>
      <c r="B472" s="0" t="s">
        <v>402</v>
      </c>
    </row>
    <row r="473" customFormat="false" ht="15" hidden="false" customHeight="false" outlineLevel="0" collapsed="false">
      <c r="A473" s="0" t="s">
        <v>328</v>
      </c>
      <c r="B473" s="0" t="s">
        <v>328</v>
      </c>
    </row>
    <row r="474" customFormat="false" ht="15" hidden="false" customHeight="false" outlineLevel="0" collapsed="false">
      <c r="A474" s="0" t="s">
        <v>1030</v>
      </c>
      <c r="B474" s="0" t="s">
        <v>328</v>
      </c>
    </row>
    <row r="475" customFormat="false" ht="15" hidden="false" customHeight="false" outlineLevel="0" collapsed="false">
      <c r="A475" s="0" t="s">
        <v>1031</v>
      </c>
      <c r="B475" s="0" t="s">
        <v>328</v>
      </c>
    </row>
    <row r="476" customFormat="false" ht="15" hidden="false" customHeight="false" outlineLevel="0" collapsed="false">
      <c r="A476" s="0" t="s">
        <v>299</v>
      </c>
      <c r="B476" s="0" t="s">
        <v>299</v>
      </c>
    </row>
    <row r="477" customFormat="false" ht="15" hidden="false" customHeight="false" outlineLevel="0" collapsed="false">
      <c r="A477" s="0" t="s">
        <v>1032</v>
      </c>
      <c r="B477" s="0" t="s">
        <v>299</v>
      </c>
    </row>
    <row r="478" customFormat="false" ht="15" hidden="false" customHeight="false" outlineLevel="0" collapsed="false">
      <c r="A478" s="0" t="s">
        <v>326</v>
      </c>
      <c r="B478" s="0" t="s">
        <v>326</v>
      </c>
    </row>
    <row r="479" customFormat="false" ht="15" hidden="false" customHeight="false" outlineLevel="0" collapsed="false">
      <c r="A479" s="0" t="s">
        <v>1033</v>
      </c>
      <c r="B479" s="0" t="s">
        <v>326</v>
      </c>
    </row>
    <row r="480" customFormat="false" ht="15" hidden="false" customHeight="false" outlineLevel="0" collapsed="false">
      <c r="A480" s="0" t="s">
        <v>582</v>
      </c>
      <c r="B480" s="0" t="s">
        <v>582</v>
      </c>
    </row>
    <row r="481" customFormat="false" ht="15" hidden="false" customHeight="false" outlineLevel="0" collapsed="false">
      <c r="A481" s="0" t="s">
        <v>1034</v>
      </c>
      <c r="B481" s="0" t="s">
        <v>582</v>
      </c>
    </row>
    <row r="482" customFormat="false" ht="15" hidden="false" customHeight="false" outlineLevel="0" collapsed="false">
      <c r="A482" s="0" t="s">
        <v>506</v>
      </c>
      <c r="B482" s="0" t="s">
        <v>506</v>
      </c>
    </row>
    <row r="483" customFormat="false" ht="15" hidden="false" customHeight="false" outlineLevel="0" collapsed="false">
      <c r="A483" s="0" t="s">
        <v>1035</v>
      </c>
      <c r="B483" s="0" t="s">
        <v>506</v>
      </c>
    </row>
    <row r="484" customFormat="false" ht="15" hidden="false" customHeight="false" outlineLevel="0" collapsed="false">
      <c r="A484" s="0" t="s">
        <v>459</v>
      </c>
      <c r="B484" s="0" t="s">
        <v>459</v>
      </c>
    </row>
    <row r="485" customFormat="false" ht="15" hidden="false" customHeight="false" outlineLevel="0" collapsed="false">
      <c r="A485" s="0" t="s">
        <v>1036</v>
      </c>
      <c r="B485" s="0" t="s">
        <v>459</v>
      </c>
    </row>
    <row r="486" customFormat="false" ht="15" hidden="false" customHeight="false" outlineLevel="0" collapsed="false">
      <c r="A486" s="0" t="s">
        <v>434</v>
      </c>
      <c r="B486" s="0" t="s">
        <v>434</v>
      </c>
    </row>
    <row r="487" customFormat="false" ht="15" hidden="false" customHeight="false" outlineLevel="0" collapsed="false">
      <c r="A487" s="0" t="s">
        <v>1037</v>
      </c>
      <c r="B487" s="0" t="s">
        <v>434</v>
      </c>
    </row>
    <row r="488" customFormat="false" ht="15" hidden="false" customHeight="false" outlineLevel="0" collapsed="false">
      <c r="A488" s="0" t="s">
        <v>433</v>
      </c>
      <c r="B488" s="0" t="s">
        <v>433</v>
      </c>
    </row>
    <row r="489" customFormat="false" ht="15" hidden="false" customHeight="false" outlineLevel="0" collapsed="false">
      <c r="A489" s="0" t="s">
        <v>1038</v>
      </c>
      <c r="B489" s="0" t="s">
        <v>433</v>
      </c>
    </row>
    <row r="490" customFormat="false" ht="15" hidden="false" customHeight="false" outlineLevel="0" collapsed="false">
      <c r="A490" s="0" t="s">
        <v>421</v>
      </c>
      <c r="B490" s="0" t="s">
        <v>421</v>
      </c>
    </row>
    <row r="491" customFormat="false" ht="15" hidden="false" customHeight="false" outlineLevel="0" collapsed="false">
      <c r="A491" s="0" t="s">
        <v>1039</v>
      </c>
      <c r="B491" s="0" t="s">
        <v>421</v>
      </c>
    </row>
    <row r="492" customFormat="false" ht="15" hidden="false" customHeight="false" outlineLevel="0" collapsed="false">
      <c r="A492" s="0" t="s">
        <v>513</v>
      </c>
      <c r="B492" s="0" t="s">
        <v>513</v>
      </c>
    </row>
    <row r="493" customFormat="false" ht="15" hidden="false" customHeight="false" outlineLevel="0" collapsed="false">
      <c r="A493" s="0" t="s">
        <v>1040</v>
      </c>
      <c r="B493" s="0" t="s">
        <v>513</v>
      </c>
    </row>
    <row r="494" customFormat="false" ht="15" hidden="false" customHeight="false" outlineLevel="0" collapsed="false">
      <c r="A494" s="0" t="s">
        <v>630</v>
      </c>
      <c r="B494" s="0" t="s">
        <v>630</v>
      </c>
    </row>
    <row r="495" customFormat="false" ht="15" hidden="false" customHeight="false" outlineLevel="0" collapsed="false">
      <c r="A495" s="0" t="s">
        <v>1041</v>
      </c>
      <c r="B495" s="0" t="s">
        <v>630</v>
      </c>
    </row>
    <row r="496" customFormat="false" ht="15" hidden="false" customHeight="false" outlineLevel="0" collapsed="false">
      <c r="A496" s="0" t="s">
        <v>345</v>
      </c>
      <c r="B496" s="0" t="s">
        <v>345</v>
      </c>
    </row>
    <row r="497" customFormat="false" ht="15" hidden="false" customHeight="false" outlineLevel="0" collapsed="false">
      <c r="A497" s="0" t="s">
        <v>1042</v>
      </c>
      <c r="B497" s="0" t="s">
        <v>345</v>
      </c>
    </row>
    <row r="498" customFormat="false" ht="15" hidden="false" customHeight="false" outlineLevel="0" collapsed="false">
      <c r="A498" s="0" t="s">
        <v>1043</v>
      </c>
      <c r="B498" s="0" t="s">
        <v>345</v>
      </c>
    </row>
    <row r="499" customFormat="false" ht="15" hidden="false" customHeight="false" outlineLevel="0" collapsed="false">
      <c r="A499" s="0" t="s">
        <v>313</v>
      </c>
      <c r="B499" s="0" t="s">
        <v>313</v>
      </c>
    </row>
    <row r="500" customFormat="false" ht="15" hidden="false" customHeight="false" outlineLevel="0" collapsed="false">
      <c r="A500" s="0" t="s">
        <v>1044</v>
      </c>
      <c r="B500" s="0" t="s">
        <v>313</v>
      </c>
    </row>
    <row r="501" customFormat="false" ht="15" hidden="false" customHeight="false" outlineLevel="0" collapsed="false">
      <c r="A501" s="0" t="s">
        <v>1045</v>
      </c>
      <c r="B501" s="0" t="s">
        <v>313</v>
      </c>
    </row>
    <row r="502" customFormat="false" ht="15" hidden="false" customHeight="false" outlineLevel="0" collapsed="false">
      <c r="A502" s="0" t="s">
        <v>598</v>
      </c>
      <c r="B502" s="0" t="s">
        <v>598</v>
      </c>
    </row>
    <row r="503" customFormat="false" ht="15" hidden="false" customHeight="false" outlineLevel="0" collapsed="false">
      <c r="A503" s="0" t="s">
        <v>1046</v>
      </c>
      <c r="B503" s="0" t="s">
        <v>598</v>
      </c>
    </row>
    <row r="504" customFormat="false" ht="15" hidden="false" customHeight="false" outlineLevel="0" collapsed="false">
      <c r="A504" s="0" t="s">
        <v>1047</v>
      </c>
      <c r="B504" s="0" t="s">
        <v>598</v>
      </c>
    </row>
    <row r="505" customFormat="false" ht="15" hidden="false" customHeight="false" outlineLevel="0" collapsed="false">
      <c r="A505" s="0" t="s">
        <v>389</v>
      </c>
      <c r="B505" s="0" t="s">
        <v>389</v>
      </c>
    </row>
    <row r="506" customFormat="false" ht="15" hidden="false" customHeight="false" outlineLevel="0" collapsed="false">
      <c r="A506" s="0" t="s">
        <v>1048</v>
      </c>
      <c r="B506" s="0" t="s">
        <v>389</v>
      </c>
    </row>
    <row r="507" customFormat="false" ht="15" hidden="false" customHeight="false" outlineLevel="0" collapsed="false">
      <c r="A507" s="0" t="s">
        <v>388</v>
      </c>
      <c r="B507" s="0" t="s">
        <v>388</v>
      </c>
    </row>
    <row r="508" customFormat="false" ht="15" hidden="false" customHeight="false" outlineLevel="0" collapsed="false">
      <c r="A508" s="0" t="s">
        <v>1049</v>
      </c>
      <c r="B508" s="0" t="s">
        <v>388</v>
      </c>
    </row>
    <row r="509" customFormat="false" ht="15" hidden="false" customHeight="false" outlineLevel="0" collapsed="false">
      <c r="A509" s="0" t="s">
        <v>463</v>
      </c>
      <c r="B509" s="0" t="s">
        <v>463</v>
      </c>
    </row>
    <row r="510" customFormat="false" ht="15" hidden="false" customHeight="false" outlineLevel="0" collapsed="false">
      <c r="A510" s="0" t="s">
        <v>1050</v>
      </c>
      <c r="B510" s="0" t="s">
        <v>463</v>
      </c>
    </row>
    <row r="511" customFormat="false" ht="15" hidden="false" customHeight="false" outlineLevel="0" collapsed="false">
      <c r="A511" s="0" t="s">
        <v>1051</v>
      </c>
      <c r="B511" s="0" t="s">
        <v>463</v>
      </c>
    </row>
    <row r="512" customFormat="false" ht="15" hidden="false" customHeight="false" outlineLevel="0" collapsed="false">
      <c r="A512" s="0" t="s">
        <v>1052</v>
      </c>
      <c r="B512" s="0" t="s">
        <v>463</v>
      </c>
    </row>
    <row r="513" customFormat="false" ht="15" hidden="false" customHeight="false" outlineLevel="0" collapsed="false">
      <c r="A513" s="0" t="s">
        <v>1053</v>
      </c>
      <c r="B513" s="0" t="s">
        <v>463</v>
      </c>
    </row>
    <row r="514" customFormat="false" ht="15" hidden="false" customHeight="false" outlineLevel="0" collapsed="false">
      <c r="A514" s="0" t="s">
        <v>472</v>
      </c>
      <c r="B514" s="0" t="s">
        <v>472</v>
      </c>
    </row>
    <row r="515" customFormat="false" ht="15" hidden="false" customHeight="false" outlineLevel="0" collapsed="false">
      <c r="A515" s="0" t="s">
        <v>1054</v>
      </c>
      <c r="B515" s="0" t="s">
        <v>472</v>
      </c>
    </row>
    <row r="516" customFormat="false" ht="15" hidden="false" customHeight="false" outlineLevel="0" collapsed="false">
      <c r="A516" s="0" t="s">
        <v>1055</v>
      </c>
      <c r="B516" s="0" t="s">
        <v>472</v>
      </c>
    </row>
    <row r="517" customFormat="false" ht="15" hidden="false" customHeight="false" outlineLevel="0" collapsed="false">
      <c r="A517" s="0" t="s">
        <v>1056</v>
      </c>
      <c r="B517" s="0" t="s">
        <v>472</v>
      </c>
    </row>
    <row r="518" customFormat="false" ht="15" hidden="false" customHeight="false" outlineLevel="0" collapsed="false">
      <c r="A518" s="0" t="s">
        <v>1057</v>
      </c>
      <c r="B518" s="0" t="s">
        <v>472</v>
      </c>
    </row>
    <row r="519" customFormat="false" ht="15" hidden="false" customHeight="false" outlineLevel="0" collapsed="false">
      <c r="A519" s="0" t="s">
        <v>147</v>
      </c>
      <c r="B519" s="0" t="s">
        <v>147</v>
      </c>
    </row>
    <row r="520" customFormat="false" ht="15" hidden="false" customHeight="false" outlineLevel="0" collapsed="false">
      <c r="A520" s="0" t="s">
        <v>1058</v>
      </c>
      <c r="B520" s="0" t="s">
        <v>147</v>
      </c>
    </row>
    <row r="521" customFormat="false" ht="15" hidden="false" customHeight="false" outlineLevel="0" collapsed="false">
      <c r="A521" s="0" t="s">
        <v>1059</v>
      </c>
      <c r="B521" s="0" t="s">
        <v>147</v>
      </c>
    </row>
    <row r="522" customFormat="false" ht="15" hidden="false" customHeight="false" outlineLevel="0" collapsed="false">
      <c r="A522" s="0" t="s">
        <v>1060</v>
      </c>
      <c r="B522" s="0" t="s">
        <v>147</v>
      </c>
    </row>
    <row r="523" customFormat="false" ht="15" hidden="false" customHeight="false" outlineLevel="0" collapsed="false">
      <c r="A523" s="0" t="s">
        <v>1061</v>
      </c>
      <c r="B523" s="0" t="s">
        <v>147</v>
      </c>
    </row>
    <row r="524" customFormat="false" ht="15" hidden="false" customHeight="false" outlineLevel="0" collapsed="false">
      <c r="A524" s="0" t="s">
        <v>1062</v>
      </c>
      <c r="B524" s="0" t="s">
        <v>147</v>
      </c>
    </row>
    <row r="525" customFormat="false" ht="15" hidden="false" customHeight="false" outlineLevel="0" collapsed="false">
      <c r="A525" s="0" t="s">
        <v>1063</v>
      </c>
      <c r="B525" s="0" t="s">
        <v>147</v>
      </c>
    </row>
    <row r="526" customFormat="false" ht="15" hidden="false" customHeight="false" outlineLevel="0" collapsed="false">
      <c r="A526" s="0" t="s">
        <v>1064</v>
      </c>
      <c r="B526" s="0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2026-10-15T14:58:03Z</dcterms:created>
  <dc:creator>openpyxl</dc:creator>
  <dc:description/>
  <dc:language>en-US</dc:language>
  <cp:lastModifiedBy/>
  <dcterms:modified xsi:type="dcterms:W3CDTF">2026-10-15T14:58:04Z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